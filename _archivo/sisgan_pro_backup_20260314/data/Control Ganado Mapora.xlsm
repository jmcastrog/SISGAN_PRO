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3.xml" ContentType="application/vnd.openxmlformats-officedocument.drawing+xml"/>
  <Override PartName="/xl/tables/table11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Users\Usuario\Desktop\"/>
    </mc:Choice>
  </mc:AlternateContent>
  <xr:revisionPtr revIDLastSave="0" documentId="13_ncr:1_{E9762635-D82B-4712-9E3A-59840587E0F2}" xr6:coauthVersionLast="47" xr6:coauthVersionMax="47" xr10:uidLastSave="{00000000-0000-0000-0000-000000000000}"/>
  <bookViews>
    <workbookView xWindow="-120" yWindow="-120" windowWidth="21840" windowHeight="13740" tabRatio="826" activeTab="1" xr2:uid="{00000000-000D-0000-FFFF-FFFF00000000}"/>
  </bookViews>
  <sheets>
    <sheet name="Inicio" sheetId="17" r:id="rId1"/>
    <sheet name="Fichas" sheetId="2" r:id="rId2"/>
    <sheet name="Partos" sheetId="11" r:id="rId3"/>
    <sheet name="Servicios" sheetId="14" r:id="rId4"/>
    <sheet name="Palpaciones" sheetId="15" r:id="rId5"/>
    <sheet name="Control p.leche" sheetId="10" r:id="rId6"/>
    <sheet name="Control de Peso" sheetId="19" r:id="rId7"/>
    <sheet name="Indices" sheetId="16" r:id="rId8"/>
    <sheet name="Bajas" sheetId="12" r:id="rId9"/>
    <sheet name="Eventos" sheetId="1" r:id="rId10"/>
    <sheet name="Queso" sheetId="20" r:id="rId11"/>
    <sheet name="Gastos" sheetId="9" r:id="rId12"/>
    <sheet name="Hoja3" sheetId="3" r:id="rId13"/>
    <sheet name="Hoja1" sheetId="4" r:id="rId14"/>
    <sheet name="Hoja2" sheetId="5" r:id="rId15"/>
    <sheet name="Estimados" sheetId="6" r:id="rId16"/>
    <sheet name="Hoja4" sheetId="7" r:id="rId17"/>
    <sheet name="Amortizacion" sheetId="8" r:id="rId18"/>
    <sheet name="Hoja5" sheetId="13" r:id="rId19"/>
  </sheets>
  <definedNames>
    <definedName name="_xlnm._FilterDatabase" localSheetId="5" hidden="1">'Control p.leche'!$A$3:$D$771</definedName>
    <definedName name="_xlnm._FilterDatabase" localSheetId="9" hidden="1">Eventos!$A$5:$M$75</definedName>
    <definedName name="_xlnm._FilterDatabase" localSheetId="1" hidden="1">Fichas!$A$3:$R$120</definedName>
    <definedName name="_xlnm._FilterDatabase" localSheetId="13" hidden="1">Hoja1!#REF!</definedName>
    <definedName name="_xlnm._FilterDatabase" localSheetId="0" hidden="1">Inicio!$A$3:$O$3</definedName>
    <definedName name="_xlnm._FilterDatabase" localSheetId="2" hidden="1">Partos!$A$1:$J$78</definedName>
    <definedName name="_xlnm.Extract" localSheetId="0">Inicio!#REF!</definedName>
    <definedName name="_xlnm.Criteria" localSheetId="5">'Control p.leche'!$C$1:$C$2</definedName>
    <definedName name="_xlnm.Criteria" localSheetId="0">Inicio!#REF!</definedName>
  </definedNames>
  <calcPr calcId="191028"/>
  <pivotCaches>
    <pivotCache cacheId="0" r:id="rId2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50" i="10" l="1"/>
  <c r="N120" i="2"/>
  <c r="B120" i="2" s="1"/>
  <c r="J120" i="2"/>
  <c r="K120" i="2" s="1"/>
  <c r="L120" i="2" s="1"/>
  <c r="E75" i="11"/>
  <c r="E74" i="11"/>
  <c r="J104" i="2"/>
  <c r="K104" i="2" s="1"/>
  <c r="L104" i="2" s="1"/>
  <c r="B78" i="11"/>
  <c r="E78" i="11"/>
  <c r="H78" i="11"/>
  <c r="N119" i="2"/>
  <c r="B119" i="2" s="1"/>
  <c r="J119" i="2"/>
  <c r="K119" i="2" s="1"/>
  <c r="L119" i="2" s="1"/>
  <c r="B77" i="11"/>
  <c r="E77" i="11"/>
  <c r="H77" i="11"/>
  <c r="N118" i="2"/>
  <c r="B118" i="2" s="1"/>
  <c r="J118" i="2"/>
  <c r="K118" i="2" s="1"/>
  <c r="L118" i="2" s="1"/>
  <c r="B76" i="11"/>
  <c r="E76" i="11"/>
  <c r="H76" i="11"/>
  <c r="D40" i="14"/>
  <c r="I40" i="14"/>
  <c r="J40" i="14"/>
  <c r="K40" i="14"/>
  <c r="L40" i="14"/>
  <c r="H73" i="11"/>
  <c r="E73" i="11"/>
  <c r="B73" i="11"/>
  <c r="N117" i="2"/>
  <c r="B117" i="2" s="1"/>
  <c r="J117" i="2"/>
  <c r="K117" i="2" s="1"/>
  <c r="L117" i="2" s="1"/>
  <c r="F730" i="10"/>
  <c r="N116" i="2"/>
  <c r="B116" i="2" s="1"/>
  <c r="J103" i="2"/>
  <c r="K103" i="2" s="1"/>
  <c r="L103" i="2" s="1"/>
  <c r="J116" i="2"/>
  <c r="K116" i="2" s="1"/>
  <c r="L116" i="2" s="1"/>
  <c r="F710" i="10"/>
  <c r="D39" i="14"/>
  <c r="I39" i="14"/>
  <c r="J39" i="14"/>
  <c r="K39" i="14"/>
  <c r="L39" i="14"/>
  <c r="N115" i="2"/>
  <c r="B115" i="2" s="1"/>
  <c r="J115" i="2"/>
  <c r="K115" i="2" s="1"/>
  <c r="L115" i="2" s="1"/>
  <c r="F691" i="10"/>
  <c r="F672" i="10"/>
  <c r="N114" i="2"/>
  <c r="B114" i="2" s="1"/>
  <c r="J102" i="2"/>
  <c r="K102" i="2" s="1"/>
  <c r="L102" i="2" s="1"/>
  <c r="J114" i="2"/>
  <c r="K114" i="2" s="1"/>
  <c r="L114" i="2" s="1"/>
  <c r="K127" i="2"/>
  <c r="K128" i="2"/>
  <c r="K129" i="2"/>
  <c r="K130" i="2"/>
  <c r="K131" i="2"/>
  <c r="K132" i="2"/>
  <c r="K126" i="2"/>
  <c r="G124" i="2"/>
  <c r="N113" i="2"/>
  <c r="B113" i="2" s="1"/>
  <c r="J113" i="2"/>
  <c r="K113" i="2" s="1"/>
  <c r="L113" i="2" s="1"/>
  <c r="B72" i="11"/>
  <c r="E72" i="11"/>
  <c r="H72" i="11"/>
  <c r="I127" i="2"/>
  <c r="I128" i="2"/>
  <c r="I129" i="2"/>
  <c r="I130" i="2"/>
  <c r="I131" i="2"/>
  <c r="I132" i="2"/>
  <c r="I126" i="2"/>
  <c r="G127" i="2"/>
  <c r="G128" i="2"/>
  <c r="G129" i="2"/>
  <c r="G130" i="2"/>
  <c r="G131" i="2"/>
  <c r="G132" i="2"/>
  <c r="G126" i="2"/>
  <c r="E127" i="2"/>
  <c r="E128" i="2"/>
  <c r="E129" i="2"/>
  <c r="E130" i="2"/>
  <c r="E131" i="2"/>
  <c r="E132" i="2"/>
  <c r="E126" i="2"/>
  <c r="G123" i="2"/>
  <c r="G122" i="2"/>
  <c r="F652" i="10"/>
  <c r="N112" i="2"/>
  <c r="B112" i="2" s="1"/>
  <c r="B71" i="11"/>
  <c r="E71" i="11"/>
  <c r="H71" i="11"/>
  <c r="F633" i="10"/>
  <c r="B4" i="17" a="1"/>
  <c r="B4" i="17" s="1"/>
  <c r="M4" i="17" s="1"/>
  <c r="S4" i="17" s="1"/>
  <c r="B38" i="17" a="1"/>
  <c r="B38" i="17" s="1"/>
  <c r="A47" i="17" a="1"/>
  <c r="A47" i="17" s="1"/>
  <c r="C85" i="15"/>
  <c r="C84" i="15"/>
  <c r="N77" i="2"/>
  <c r="N78" i="2"/>
  <c r="N72" i="2"/>
  <c r="N73" i="2"/>
  <c r="N74" i="2"/>
  <c r="N75" i="2"/>
  <c r="N105" i="2"/>
  <c r="B105" i="2" s="1"/>
  <c r="N106" i="2"/>
  <c r="B106" i="2" s="1"/>
  <c r="N107" i="2"/>
  <c r="B107" i="2" s="1"/>
  <c r="N108" i="2"/>
  <c r="B108" i="2" s="1"/>
  <c r="N109" i="2"/>
  <c r="B109" i="2" s="1"/>
  <c r="N110" i="2"/>
  <c r="B110" i="2" s="1"/>
  <c r="N111" i="2"/>
  <c r="B111" i="2" s="1"/>
  <c r="J109" i="2"/>
  <c r="K109" i="2" s="1"/>
  <c r="L109" i="2" s="1"/>
  <c r="J110" i="2"/>
  <c r="K110" i="2" s="1"/>
  <c r="L110" i="2" s="1"/>
  <c r="J111" i="2"/>
  <c r="K111" i="2" s="1"/>
  <c r="L111" i="2" s="1"/>
  <c r="J108" i="2"/>
  <c r="K108" i="2" s="1"/>
  <c r="L108" i="2" s="1"/>
  <c r="J105" i="2"/>
  <c r="K105" i="2" s="1"/>
  <c r="L105" i="2" s="1"/>
  <c r="J106" i="2"/>
  <c r="K106" i="2" s="1"/>
  <c r="L106" i="2" s="1"/>
  <c r="J107" i="2"/>
  <c r="K107" i="2" s="1"/>
  <c r="L107" i="2" s="1"/>
  <c r="J112" i="2"/>
  <c r="K112" i="2" s="1"/>
  <c r="L112" i="2" s="1"/>
  <c r="F615" i="10"/>
  <c r="B68" i="11"/>
  <c r="E68" i="11"/>
  <c r="H68" i="11"/>
  <c r="B69" i="11"/>
  <c r="E69" i="11"/>
  <c r="H69" i="11"/>
  <c r="B70" i="11"/>
  <c r="E70" i="11"/>
  <c r="H70" i="11"/>
  <c r="I22" i="17" l="1"/>
  <c r="J22" i="17" s="1"/>
  <c r="G133" i="2"/>
  <c r="K23" i="17"/>
  <c r="M23" i="17"/>
  <c r="N23" i="17" s="1" a="1"/>
  <c r="N23" i="17" s="1"/>
  <c r="O23" i="17"/>
  <c r="P23" i="17" s="1" a="1"/>
  <c r="P23" i="17" s="1"/>
  <c r="I23" i="17"/>
  <c r="J23" i="17" s="1"/>
  <c r="L23" i="17" a="1"/>
  <c r="L23" i="17" s="1"/>
  <c r="H23" i="17"/>
  <c r="I133" i="2"/>
  <c r="E133" i="2"/>
  <c r="K22" i="17"/>
  <c r="M22" i="17"/>
  <c r="O22" i="17"/>
  <c r="P22" i="17" s="1" a="1"/>
  <c r="P22" i="17" s="1"/>
  <c r="L22" i="17" a="1"/>
  <c r="L22" i="17" s="1"/>
  <c r="H22" i="17"/>
  <c r="M19" i="17"/>
  <c r="S19" i="17" s="1"/>
  <c r="M15" i="17"/>
  <c r="S15" i="17" s="1"/>
  <c r="M11" i="17"/>
  <c r="M7" i="17"/>
  <c r="S7" i="17" s="1"/>
  <c r="M21" i="17"/>
  <c r="S21" i="17" s="1"/>
  <c r="M17" i="17"/>
  <c r="S17" i="17" s="1"/>
  <c r="M13" i="17"/>
  <c r="S13" i="17" s="1"/>
  <c r="M9" i="17"/>
  <c r="M20" i="17"/>
  <c r="S20" i="17" s="1"/>
  <c r="M16" i="17"/>
  <c r="S16" i="17" s="1"/>
  <c r="M12" i="17"/>
  <c r="S12" i="17" s="1"/>
  <c r="M8" i="17"/>
  <c r="S8" i="17" s="1"/>
  <c r="M18" i="17"/>
  <c r="S18" i="17" s="1"/>
  <c r="M14" i="17"/>
  <c r="S14" i="17" s="1"/>
  <c r="M10" i="17"/>
  <c r="M6" i="17"/>
  <c r="S6" i="17" s="1"/>
  <c r="M5" i="17"/>
  <c r="S5" i="17" s="1"/>
  <c r="J100" i="2"/>
  <c r="K100" i="2" s="1"/>
  <c r="L100" i="2" s="1"/>
  <c r="J101" i="2"/>
  <c r="K101" i="2" s="1"/>
  <c r="L101" i="2" s="1"/>
  <c r="F582" i="10"/>
  <c r="F597" i="10"/>
  <c r="C73" i="15"/>
  <c r="C71" i="15"/>
  <c r="C72" i="15"/>
  <c r="C68" i="15"/>
  <c r="C69" i="15"/>
  <c r="C70" i="15"/>
  <c r="C74" i="15"/>
  <c r="C75" i="15"/>
  <c r="C76" i="15"/>
  <c r="C77" i="15"/>
  <c r="C80" i="15"/>
  <c r="C81" i="15"/>
  <c r="C82" i="15"/>
  <c r="C83" i="15"/>
  <c r="C67" i="15"/>
  <c r="C64" i="15"/>
  <c r="C65" i="15"/>
  <c r="C66" i="15"/>
  <c r="B67" i="11"/>
  <c r="E67" i="11"/>
  <c r="H67" i="11"/>
  <c r="B66" i="11"/>
  <c r="E66" i="11"/>
  <c r="H66" i="11"/>
  <c r="B65" i="11"/>
  <c r="E65" i="11"/>
  <c r="H65" i="11"/>
  <c r="B64" i="11"/>
  <c r="E64" i="11"/>
  <c r="H64" i="11"/>
  <c r="S22" i="17" l="1"/>
  <c r="T22" i="17"/>
  <c r="S23" i="17"/>
  <c r="T23" i="17"/>
  <c r="Q23" i="17"/>
  <c r="S10" i="17"/>
  <c r="S11" i="17"/>
  <c r="S9" i="17"/>
  <c r="R22" i="17"/>
  <c r="N22" i="17" a="1"/>
  <c r="N22" i="17" s="1"/>
  <c r="J99" i="2"/>
  <c r="K99" i="2" s="1"/>
  <c r="L99" i="2" s="1"/>
  <c r="J98" i="2"/>
  <c r="K98" i="2" s="1"/>
  <c r="L98" i="2" s="1"/>
  <c r="J97" i="2"/>
  <c r="K97" i="2" s="1"/>
  <c r="L97" i="2" s="1"/>
  <c r="J96" i="2"/>
  <c r="K96" i="2" s="1"/>
  <c r="L96" i="2" s="1"/>
  <c r="D38" i="14"/>
  <c r="I38" i="14"/>
  <c r="J38" i="14"/>
  <c r="K38" i="14"/>
  <c r="L38" i="14"/>
  <c r="F552" i="10"/>
  <c r="D37" i="14"/>
  <c r="I37" i="14"/>
  <c r="J37" i="14"/>
  <c r="K37" i="14"/>
  <c r="L37" i="14"/>
  <c r="I36" i="14"/>
  <c r="J36" i="14"/>
  <c r="K36" i="14"/>
  <c r="L36" i="14"/>
  <c r="P33" i="17"/>
  <c r="P34" i="17"/>
  <c r="P35" i="17"/>
  <c r="P36" i="17"/>
  <c r="P37" i="17"/>
  <c r="P38" i="17"/>
  <c r="P39" i="17"/>
  <c r="P40" i="17"/>
  <c r="P41" i="17"/>
  <c r="E44" i="17"/>
  <c r="E45" i="17"/>
  <c r="E46" i="17"/>
  <c r="E47" i="17"/>
  <c r="I35" i="14"/>
  <c r="J35" i="14"/>
  <c r="K35" i="14"/>
  <c r="L35" i="14"/>
  <c r="B95" i="2"/>
  <c r="J95" i="2"/>
  <c r="K95" i="2" s="1"/>
  <c r="L95" i="2" s="1"/>
  <c r="B63" i="11"/>
  <c r="E63" i="11"/>
  <c r="H63" i="11"/>
  <c r="I34" i="14"/>
  <c r="J34" i="14"/>
  <c r="K34" i="14"/>
  <c r="L34" i="14"/>
  <c r="I33" i="14"/>
  <c r="J33" i="14"/>
  <c r="K33" i="14"/>
  <c r="L33" i="14"/>
  <c r="D32" i="14"/>
  <c r="I32" i="14"/>
  <c r="J32" i="14"/>
  <c r="K32" i="14"/>
  <c r="L32" i="14"/>
  <c r="I31" i="14"/>
  <c r="J31" i="14"/>
  <c r="K31" i="14"/>
  <c r="L31" i="14"/>
  <c r="A30" i="17" a="1"/>
  <c r="A30" i="17" s="1"/>
  <c r="B28" i="17"/>
  <c r="E29" i="17" s="1"/>
  <c r="C38" i="17"/>
  <c r="I29" i="14"/>
  <c r="J29" i="14"/>
  <c r="K29" i="14"/>
  <c r="L29" i="14"/>
  <c r="F448" i="10"/>
  <c r="B94" i="2"/>
  <c r="J94" i="2"/>
  <c r="K94" i="2" s="1"/>
  <c r="L94" i="2" s="1"/>
  <c r="B62" i="11"/>
  <c r="E62" i="11"/>
  <c r="H62" i="11"/>
  <c r="F434" i="10"/>
  <c r="B93" i="2"/>
  <c r="J93" i="2"/>
  <c r="K93" i="2" s="1"/>
  <c r="L93" i="2" s="1"/>
  <c r="B61" i="11"/>
  <c r="E61" i="11"/>
  <c r="H61" i="11"/>
  <c r="I28" i="14"/>
  <c r="J28" i="14"/>
  <c r="K28" i="14"/>
  <c r="L28" i="14"/>
  <c r="I30" i="14"/>
  <c r="J30" i="14"/>
  <c r="K30" i="14"/>
  <c r="L30" i="14"/>
  <c r="B89" i="2"/>
  <c r="J89" i="2"/>
  <c r="K89" i="2" s="1"/>
  <c r="L89" i="2" s="1"/>
  <c r="B90" i="2"/>
  <c r="J90" i="2"/>
  <c r="K90" i="2" s="1"/>
  <c r="L90" i="2" s="1"/>
  <c r="C78" i="15"/>
  <c r="J91" i="2"/>
  <c r="K91" i="2" s="1"/>
  <c r="L91" i="2" s="1"/>
  <c r="C79" i="15"/>
  <c r="J92" i="2"/>
  <c r="K92" i="2" s="1"/>
  <c r="L92" i="2" s="1"/>
  <c r="B59" i="11"/>
  <c r="E59" i="11"/>
  <c r="H59" i="11"/>
  <c r="B60" i="11"/>
  <c r="E60" i="11"/>
  <c r="H60" i="11"/>
  <c r="B88" i="2"/>
  <c r="J88" i="2"/>
  <c r="K88" i="2" s="1"/>
  <c r="L88" i="2" s="1"/>
  <c r="B58" i="11"/>
  <c r="E58" i="11"/>
  <c r="H58" i="11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63" i="19"/>
  <c r="I26" i="14"/>
  <c r="J26" i="14"/>
  <c r="K26" i="14"/>
  <c r="L26" i="14"/>
  <c r="B86" i="2"/>
  <c r="C67" i="19" s="1"/>
  <c r="J86" i="2"/>
  <c r="K86" i="2" s="1"/>
  <c r="L86" i="2" s="1"/>
  <c r="B87" i="2"/>
  <c r="C68" i="19" s="1"/>
  <c r="J87" i="2"/>
  <c r="K87" i="2" s="1"/>
  <c r="L87" i="2" s="1"/>
  <c r="B57" i="11"/>
  <c r="E57" i="11"/>
  <c r="H57" i="11"/>
  <c r="B56" i="11"/>
  <c r="E56" i="11"/>
  <c r="H56" i="11"/>
  <c r="I27" i="14"/>
  <c r="J27" i="14"/>
  <c r="K27" i="14"/>
  <c r="L27" i="14"/>
  <c r="I25" i="14"/>
  <c r="J25" i="14"/>
  <c r="K25" i="14"/>
  <c r="L25" i="14"/>
  <c r="B85" i="2"/>
  <c r="C66" i="19" s="1"/>
  <c r="J85" i="2"/>
  <c r="K85" i="2" s="1"/>
  <c r="L85" i="2" s="1"/>
  <c r="B55" i="11"/>
  <c r="E55" i="11"/>
  <c r="H55" i="11"/>
  <c r="B84" i="2"/>
  <c r="C65" i="19" s="1"/>
  <c r="J84" i="2"/>
  <c r="K84" i="2" s="1"/>
  <c r="L84" i="2" s="1"/>
  <c r="B54" i="11"/>
  <c r="E54" i="11"/>
  <c r="H54" i="11"/>
  <c r="E13" i="9"/>
  <c r="F9" i="9"/>
  <c r="D9" i="9"/>
  <c r="E9" i="9"/>
  <c r="F8" i="9"/>
  <c r="E23" i="9"/>
  <c r="E21" i="9"/>
  <c r="D21" i="9"/>
  <c r="D23" i="9"/>
  <c r="D22" i="9"/>
  <c r="L4" i="14"/>
  <c r="L24" i="14"/>
  <c r="K24" i="14"/>
  <c r="J24" i="14"/>
  <c r="I24" i="14"/>
  <c r="D24" i="14"/>
  <c r="B83" i="2"/>
  <c r="C64" i="19" s="1"/>
  <c r="J83" i="2"/>
  <c r="K83" i="2" s="1"/>
  <c r="L83" i="2" s="1"/>
  <c r="B53" i="11"/>
  <c r="E53" i="11"/>
  <c r="H53" i="11"/>
  <c r="D22" i="14"/>
  <c r="I19" i="14"/>
  <c r="J19" i="14"/>
  <c r="K19" i="14"/>
  <c r="L19" i="14"/>
  <c r="I22" i="14"/>
  <c r="J22" i="14"/>
  <c r="K22" i="14"/>
  <c r="L22" i="14"/>
  <c r="I21" i="14"/>
  <c r="J21" i="14"/>
  <c r="K21" i="14"/>
  <c r="L21" i="14"/>
  <c r="I23" i="14"/>
  <c r="J23" i="14"/>
  <c r="K23" i="14"/>
  <c r="L23" i="14"/>
  <c r="I20" i="14"/>
  <c r="J20" i="14"/>
  <c r="K20" i="14"/>
  <c r="L20" i="14"/>
  <c r="B82" i="2"/>
  <c r="J82" i="2"/>
  <c r="K82" i="2" s="1"/>
  <c r="L82" i="2" s="1"/>
  <c r="B52" i="11"/>
  <c r="E52" i="11"/>
  <c r="H52" i="11"/>
  <c r="M3" i="15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G3" i="15" a="1"/>
  <c r="G3" i="15" s="1"/>
  <c r="D35" i="9"/>
  <c r="D34" i="9"/>
  <c r="J81" i="2"/>
  <c r="K81" i="2" s="1"/>
  <c r="L81" i="2" s="1"/>
  <c r="B80" i="2"/>
  <c r="C62" i="19" s="1"/>
  <c r="J80" i="2"/>
  <c r="K80" i="2" s="1"/>
  <c r="L80" i="2" s="1"/>
  <c r="B51" i="11"/>
  <c r="E51" i="11"/>
  <c r="H51" i="11"/>
  <c r="G47" i="10" a="1"/>
  <c r="G47" i="10" s="1"/>
  <c r="G29" i="10" a="1"/>
  <c r="G29" i="10" s="1"/>
  <c r="P29" i="10" s="1" a="1"/>
  <c r="P29" i="10" s="1"/>
  <c r="H45" i="10"/>
  <c r="I4" i="10"/>
  <c r="X22" i="10"/>
  <c r="W22" i="10"/>
  <c r="V22" i="10"/>
  <c r="U22" i="10"/>
  <c r="T22" i="10"/>
  <c r="S22" i="10"/>
  <c r="R22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X21" i="10"/>
  <c r="W21" i="10"/>
  <c r="B162" i="20"/>
  <c r="A162" i="20" s="1"/>
  <c r="B163" i="20"/>
  <c r="B164" i="20" s="1"/>
  <c r="F162" i="20"/>
  <c r="F163" i="20"/>
  <c r="F164" i="20"/>
  <c r="F165" i="20"/>
  <c r="F166" i="20"/>
  <c r="F167" i="20"/>
  <c r="F168" i="20"/>
  <c r="F169" i="20"/>
  <c r="F170" i="20"/>
  <c r="E174" i="20" a="1"/>
  <c r="E174" i="20" s="1"/>
  <c r="C174" i="20" a="1"/>
  <c r="C174" i="20" s="1"/>
  <c r="C173" i="20" a="1"/>
  <c r="C173" i="20" s="1"/>
  <c r="D174" i="20" a="1"/>
  <c r="D174" i="20" s="1"/>
  <c r="D172" i="20"/>
  <c r="F171" i="20"/>
  <c r="F153" i="20"/>
  <c r="F154" i="20"/>
  <c r="F155" i="20"/>
  <c r="F156" i="20"/>
  <c r="F157" i="20"/>
  <c r="F158" i="20"/>
  <c r="F159" i="20"/>
  <c r="F160" i="20"/>
  <c r="F161" i="20"/>
  <c r="I18" i="14"/>
  <c r="J18" i="14"/>
  <c r="L18" i="14"/>
  <c r="I17" i="14"/>
  <c r="J17" i="14"/>
  <c r="L17" i="14"/>
  <c r="I16" i="14"/>
  <c r="J16" i="14"/>
  <c r="L16" i="14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P118" i="20"/>
  <c r="O127" i="20"/>
  <c r="M129" i="20"/>
  <c r="L111" i="20"/>
  <c r="L110" i="20"/>
  <c r="F4" i="20"/>
  <c r="F5" i="20"/>
  <c r="F6" i="20"/>
  <c r="F7" i="20"/>
  <c r="F8" i="20"/>
  <c r="F9" i="20"/>
  <c r="F10" i="20"/>
  <c r="F11" i="20"/>
  <c r="F12" i="20"/>
  <c r="F13" i="20"/>
  <c r="F14" i="20"/>
  <c r="F15" i="20"/>
  <c r="F16" i="20"/>
  <c r="F17" i="20"/>
  <c r="F18" i="20"/>
  <c r="F19" i="20"/>
  <c r="F20" i="20"/>
  <c r="F21" i="20"/>
  <c r="F22" i="20"/>
  <c r="F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36" i="20"/>
  <c r="F37" i="20"/>
  <c r="F38" i="20"/>
  <c r="F39" i="20"/>
  <c r="F40" i="20"/>
  <c r="F41" i="20"/>
  <c r="F42" i="20"/>
  <c r="F43" i="20"/>
  <c r="F44" i="20"/>
  <c r="F45" i="20"/>
  <c r="F46" i="20"/>
  <c r="F47" i="20"/>
  <c r="F48" i="20"/>
  <c r="F49" i="20"/>
  <c r="F50" i="20"/>
  <c r="F51" i="20"/>
  <c r="F52" i="20"/>
  <c r="F53" i="20"/>
  <c r="F54" i="20"/>
  <c r="F55" i="20"/>
  <c r="F56" i="20"/>
  <c r="F57" i="20"/>
  <c r="F58" i="20"/>
  <c r="F59" i="20"/>
  <c r="F60" i="20"/>
  <c r="F61" i="20"/>
  <c r="F62" i="20"/>
  <c r="F64" i="20"/>
  <c r="F65" i="20"/>
  <c r="F66" i="20"/>
  <c r="F67" i="20"/>
  <c r="F68" i="20"/>
  <c r="F69" i="20"/>
  <c r="F70" i="20"/>
  <c r="F71" i="20"/>
  <c r="F72" i="20"/>
  <c r="F73" i="20"/>
  <c r="F74" i="20"/>
  <c r="F75" i="20"/>
  <c r="F76" i="20"/>
  <c r="F77" i="20"/>
  <c r="F78" i="20"/>
  <c r="F79" i="20"/>
  <c r="F80" i="20"/>
  <c r="F81" i="20"/>
  <c r="F82" i="20"/>
  <c r="F83" i="20"/>
  <c r="F84" i="20"/>
  <c r="F85" i="20"/>
  <c r="F86" i="20"/>
  <c r="F87" i="20"/>
  <c r="F88" i="20"/>
  <c r="F89" i="20"/>
  <c r="F90" i="20"/>
  <c r="F91" i="20"/>
  <c r="F92" i="20"/>
  <c r="F93" i="20"/>
  <c r="F94" i="20"/>
  <c r="F95" i="20"/>
  <c r="F96" i="20"/>
  <c r="F97" i="20"/>
  <c r="F98" i="20"/>
  <c r="F99" i="20"/>
  <c r="F100" i="20"/>
  <c r="F101" i="20"/>
  <c r="F102" i="20"/>
  <c r="F103" i="20"/>
  <c r="F104" i="20"/>
  <c r="F105" i="20"/>
  <c r="F106" i="20"/>
  <c r="F107" i="20"/>
  <c r="F108" i="20"/>
  <c r="F109" i="20"/>
  <c r="F110" i="20"/>
  <c r="F111" i="20"/>
  <c r="F112" i="20"/>
  <c r="F113" i="20"/>
  <c r="F114" i="20"/>
  <c r="F115" i="20"/>
  <c r="F116" i="20"/>
  <c r="F117" i="20"/>
  <c r="F118" i="20"/>
  <c r="F119" i="20"/>
  <c r="F120" i="20"/>
  <c r="F121" i="20"/>
  <c r="F122" i="20"/>
  <c r="F123" i="20"/>
  <c r="F124" i="20"/>
  <c r="F125" i="20"/>
  <c r="F126" i="20"/>
  <c r="F127" i="20"/>
  <c r="F128" i="20"/>
  <c r="F129" i="20"/>
  <c r="F130" i="20"/>
  <c r="F131" i="20"/>
  <c r="F132" i="20"/>
  <c r="F133" i="20"/>
  <c r="F134" i="20"/>
  <c r="F135" i="20"/>
  <c r="F136" i="20"/>
  <c r="F137" i="20"/>
  <c r="F138" i="20"/>
  <c r="F139" i="20"/>
  <c r="F140" i="20"/>
  <c r="F141" i="20"/>
  <c r="F142" i="20"/>
  <c r="F143" i="20"/>
  <c r="F144" i="20"/>
  <c r="F145" i="20"/>
  <c r="F146" i="20"/>
  <c r="F147" i="20"/>
  <c r="F148" i="20"/>
  <c r="F149" i="20"/>
  <c r="F150" i="20"/>
  <c r="F151" i="20"/>
  <c r="F152" i="20"/>
  <c r="L21" i="10"/>
  <c r="M21" i="10"/>
  <c r="N21" i="10"/>
  <c r="O21" i="10"/>
  <c r="P21" i="10"/>
  <c r="Q21" i="10"/>
  <c r="R21" i="10"/>
  <c r="S21" i="10"/>
  <c r="T21" i="10"/>
  <c r="U21" i="10"/>
  <c r="V21" i="10"/>
  <c r="K21" i="10"/>
  <c r="D173" i="20"/>
  <c r="J108" i="20"/>
  <c r="L105" i="20"/>
  <c r="J106" i="20"/>
  <c r="R23" i="17" l="1"/>
  <c r="Q22" i="17"/>
  <c r="B47" i="17"/>
  <c r="C53" i="17"/>
  <c r="M28" i="17" a="1"/>
  <c r="O26" i="17" s="1"/>
  <c r="B56" i="17"/>
  <c r="B52" i="17"/>
  <c r="B55" i="17"/>
  <c r="B51" i="17"/>
  <c r="B54" i="17"/>
  <c r="B50" i="17"/>
  <c r="B48" i="17"/>
  <c r="B53" i="17"/>
  <c r="B49" i="17"/>
  <c r="C45" i="17"/>
  <c r="C44" i="17"/>
  <c r="C33" i="17"/>
  <c r="G30" i="17"/>
  <c r="C42" i="17"/>
  <c r="F34" i="17"/>
  <c r="C40" i="17"/>
  <c r="D41" i="17"/>
  <c r="C39" i="17"/>
  <c r="F38" i="17" a="1"/>
  <c r="G31" i="17"/>
  <c r="E30" i="17"/>
  <c r="C29" i="17"/>
  <c r="B34" i="17"/>
  <c r="C34" i="17" s="1"/>
  <c r="C32" i="17"/>
  <c r="C31" i="17"/>
  <c r="C30" i="17"/>
  <c r="G28" i="17"/>
  <c r="C41" i="17"/>
  <c r="J38" i="17" a="1"/>
  <c r="J38" i="17" s="1"/>
  <c r="D40" i="17"/>
  <c r="G34" i="17"/>
  <c r="I29" i="17" a="1"/>
  <c r="C28" i="17"/>
  <c r="K38" i="10" a="1"/>
  <c r="K38" i="10" s="1"/>
  <c r="K39" i="10" a="1"/>
  <c r="K39" i="10" s="1"/>
  <c r="K35" i="10" a="1"/>
  <c r="K35" i="10" s="1"/>
  <c r="K31" i="10" a="1"/>
  <c r="K31" i="10" s="1"/>
  <c r="K40" i="10" a="1"/>
  <c r="K40" i="10" s="1"/>
  <c r="K41" i="10" a="1"/>
  <c r="K41" i="10" s="1"/>
  <c r="K37" i="10" a="1"/>
  <c r="K37" i="10" s="1"/>
  <c r="K33" i="10" a="1"/>
  <c r="K33" i="10" s="1"/>
  <c r="K42" i="10" a="1"/>
  <c r="K42" i="10" s="1"/>
  <c r="K36" i="10" a="1"/>
  <c r="K36" i="10" s="1"/>
  <c r="K34" i="10" a="1"/>
  <c r="K34" i="10" s="1"/>
  <c r="K32" i="10" a="1"/>
  <c r="K32" i="10" s="1"/>
  <c r="K30" i="10" a="1"/>
  <c r="K30" i="10" s="1"/>
  <c r="K29" i="10" a="1"/>
  <c r="K29" i="10" s="1"/>
  <c r="I29" i="10"/>
  <c r="L39" i="10" a="1"/>
  <c r="L39" i="10" s="1"/>
  <c r="L37" i="10" a="1"/>
  <c r="L37" i="10" s="1"/>
  <c r="L35" i="10" a="1"/>
  <c r="L35" i="10" s="1"/>
  <c r="L33" i="10" a="1"/>
  <c r="L33" i="10" s="1"/>
  <c r="L31" i="10" a="1"/>
  <c r="L31" i="10" s="1"/>
  <c r="L40" i="10" a="1"/>
  <c r="L40" i="10" s="1"/>
  <c r="L38" i="10" a="1"/>
  <c r="L38" i="10" s="1"/>
  <c r="L36" i="10" a="1"/>
  <c r="L36" i="10" s="1"/>
  <c r="L34" i="10" a="1"/>
  <c r="L34" i="10" s="1"/>
  <c r="L32" i="10" a="1"/>
  <c r="L32" i="10" s="1"/>
  <c r="L30" i="10" a="1"/>
  <c r="L30" i="10" s="1"/>
  <c r="L29" i="10" a="1"/>
  <c r="L29" i="10" s="1"/>
  <c r="T39" i="10" a="1"/>
  <c r="T39" i="10" s="1"/>
  <c r="T37" i="10" a="1"/>
  <c r="T37" i="10" s="1"/>
  <c r="T35" i="10" a="1"/>
  <c r="T35" i="10" s="1"/>
  <c r="T40" i="10" a="1"/>
  <c r="T40" i="10" s="1"/>
  <c r="T38" i="10" a="1"/>
  <c r="T38" i="10" s="1"/>
  <c r="T36" i="10" a="1"/>
  <c r="T36" i="10" s="1"/>
  <c r="T34" i="10" a="1"/>
  <c r="T34" i="10" s="1"/>
  <c r="T33" i="10" a="1"/>
  <c r="T33" i="10" s="1"/>
  <c r="T31" i="10" a="1"/>
  <c r="T31" i="10" s="1"/>
  <c r="T32" i="10" a="1"/>
  <c r="T32" i="10" s="1"/>
  <c r="T30" i="10" a="1"/>
  <c r="T30" i="10" s="1"/>
  <c r="T29" i="10" a="1"/>
  <c r="T29" i="10" s="1"/>
  <c r="S29" i="10" a="1"/>
  <c r="S29" i="10" s="1"/>
  <c r="S39" i="10" a="1"/>
  <c r="S39" i="10" s="1"/>
  <c r="S37" i="10" a="1"/>
  <c r="S37" i="10" s="1"/>
  <c r="S35" i="10" a="1"/>
  <c r="S35" i="10" s="1"/>
  <c r="S33" i="10" a="1"/>
  <c r="S33" i="10" s="1"/>
  <c r="S31" i="10" a="1"/>
  <c r="S31" i="10" s="1"/>
  <c r="S40" i="10" a="1"/>
  <c r="S40" i="10" s="1"/>
  <c r="S38" i="10" a="1"/>
  <c r="S38" i="10" s="1"/>
  <c r="S36" i="10" a="1"/>
  <c r="S36" i="10" s="1"/>
  <c r="S34" i="10" a="1"/>
  <c r="S34" i="10" s="1"/>
  <c r="S32" i="10" a="1"/>
  <c r="S32" i="10" s="1"/>
  <c r="S30" i="10" a="1"/>
  <c r="S30" i="10" s="1"/>
  <c r="R39" i="10" a="1"/>
  <c r="R39" i="10" s="1"/>
  <c r="R37" i="10" a="1"/>
  <c r="R37" i="10" s="1"/>
  <c r="R35" i="10" a="1"/>
  <c r="R35" i="10" s="1"/>
  <c r="R33" i="10" a="1"/>
  <c r="R33" i="10" s="1"/>
  <c r="R31" i="10" a="1"/>
  <c r="R31" i="10" s="1"/>
  <c r="R40" i="10" a="1"/>
  <c r="R40" i="10" s="1"/>
  <c r="R38" i="10" a="1"/>
  <c r="R38" i="10" s="1"/>
  <c r="R36" i="10" a="1"/>
  <c r="R36" i="10" s="1"/>
  <c r="R34" i="10" a="1"/>
  <c r="R34" i="10" s="1"/>
  <c r="R32" i="10" a="1"/>
  <c r="R32" i="10" s="1"/>
  <c r="R30" i="10" a="1"/>
  <c r="R30" i="10" s="1"/>
  <c r="R29" i="10" a="1"/>
  <c r="R29" i="10" s="1"/>
  <c r="Q39" i="10" a="1"/>
  <c r="Q39" i="10" s="1"/>
  <c r="Q37" i="10" a="1"/>
  <c r="Q37" i="10" s="1"/>
  <c r="Q35" i="10" a="1"/>
  <c r="Q35" i="10" s="1"/>
  <c r="Q33" i="10" a="1"/>
  <c r="Q33" i="10" s="1"/>
  <c r="Q31" i="10" a="1"/>
  <c r="Q31" i="10" s="1"/>
  <c r="Q40" i="10" a="1"/>
  <c r="Q40" i="10" s="1"/>
  <c r="Q38" i="10" a="1"/>
  <c r="Q38" i="10" s="1"/>
  <c r="Q36" i="10" a="1"/>
  <c r="Q36" i="10" s="1"/>
  <c r="Q34" i="10" a="1"/>
  <c r="Q34" i="10" s="1"/>
  <c r="Q32" i="10" a="1"/>
  <c r="Q32" i="10" s="1"/>
  <c r="Q30" i="10" a="1"/>
  <c r="Q30" i="10" s="1"/>
  <c r="Q29" i="10" a="1"/>
  <c r="Q29" i="10" s="1"/>
  <c r="P39" i="10" a="1"/>
  <c r="P39" i="10" s="1"/>
  <c r="P37" i="10" a="1"/>
  <c r="P37" i="10" s="1"/>
  <c r="P35" i="10" a="1"/>
  <c r="P35" i="10" s="1"/>
  <c r="P33" i="10" a="1"/>
  <c r="P33" i="10" s="1"/>
  <c r="P31" i="10" a="1"/>
  <c r="P31" i="10" s="1"/>
  <c r="P40" i="10" a="1"/>
  <c r="P40" i="10" s="1"/>
  <c r="P38" i="10" a="1"/>
  <c r="P38" i="10" s="1"/>
  <c r="P36" i="10" a="1"/>
  <c r="P36" i="10" s="1"/>
  <c r="P34" i="10" a="1"/>
  <c r="P34" i="10" s="1"/>
  <c r="P32" i="10" a="1"/>
  <c r="P32" i="10" s="1"/>
  <c r="P30" i="10" a="1"/>
  <c r="P30" i="10" s="1"/>
  <c r="X23" i="10"/>
  <c r="U23" i="10"/>
  <c r="V23" i="10"/>
  <c r="W23" i="10"/>
  <c r="J107" i="20"/>
  <c r="A164" i="20"/>
  <c r="B165" i="20"/>
  <c r="A163" i="20"/>
  <c r="F174" i="20" a="1"/>
  <c r="F174" i="20" s="1"/>
  <c r="M124" i="20"/>
  <c r="N124" i="20"/>
  <c r="N125" i="20"/>
  <c r="L127" i="20"/>
  <c r="M127" i="20" s="1"/>
  <c r="L128" i="20"/>
  <c r="M128" i="20" s="1"/>
  <c r="N129" i="20"/>
  <c r="E4" i="8"/>
  <c r="N113" i="20"/>
  <c r="L113" i="20" s="1"/>
  <c r="M113" i="20" s="1"/>
  <c r="D15" i="14"/>
  <c r="I15" i="14"/>
  <c r="J15" i="14"/>
  <c r="L15" i="14"/>
  <c r="N79" i="2"/>
  <c r="B79" i="2" s="1"/>
  <c r="J79" i="2"/>
  <c r="K79" i="2" s="1"/>
  <c r="L79" i="2" s="1"/>
  <c r="I14" i="14"/>
  <c r="J14" i="14"/>
  <c r="L14" i="14"/>
  <c r="T23" i="10"/>
  <c r="D8" i="14"/>
  <c r="D9" i="14"/>
  <c r="D10" i="14"/>
  <c r="D11" i="14"/>
  <c r="D12" i="14"/>
  <c r="D13" i="14"/>
  <c r="D14" i="14"/>
  <c r="I10" i="14"/>
  <c r="J10" i="14"/>
  <c r="L10" i="14"/>
  <c r="I11" i="14"/>
  <c r="J11" i="14"/>
  <c r="L11" i="14"/>
  <c r="I12" i="14"/>
  <c r="J12" i="14"/>
  <c r="L12" i="14"/>
  <c r="I13" i="14"/>
  <c r="J13" i="14"/>
  <c r="L13" i="14"/>
  <c r="K56" i="20"/>
  <c r="B50" i="11"/>
  <c r="E50" i="11"/>
  <c r="H50" i="11"/>
  <c r="I100" i="20"/>
  <c r="I96" i="20"/>
  <c r="I97" i="20"/>
  <c r="I98" i="20"/>
  <c r="I99" i="20"/>
  <c r="I94" i="20"/>
  <c r="I95" i="20"/>
  <c r="A4" i="20"/>
  <c r="L135" i="20"/>
  <c r="N135" i="20" s="1"/>
  <c r="Q126" i="20"/>
  <c r="S126" i="20" s="1"/>
  <c r="Q125" i="20"/>
  <c r="S125" i="20" s="1"/>
  <c r="Q124" i="20"/>
  <c r="S124" i="20" s="1"/>
  <c r="M28" i="17" l="1"/>
  <c r="B57" i="17"/>
  <c r="F38" i="17"/>
  <c r="G32" i="17" s="1"/>
  <c r="Q31" i="17"/>
  <c r="Q28" i="17"/>
  <c r="Q32" i="17"/>
  <c r="Q29" i="17"/>
  <c r="Q30" i="17"/>
  <c r="I29" i="17"/>
  <c r="K43" i="10"/>
  <c r="S42" i="10"/>
  <c r="Q42" i="10"/>
  <c r="R42" i="10"/>
  <c r="T42" i="10"/>
  <c r="P41" i="10"/>
  <c r="P42" i="10"/>
  <c r="L42" i="10"/>
  <c r="S41" i="10"/>
  <c r="Q41" i="10"/>
  <c r="R41" i="10"/>
  <c r="T41" i="10"/>
  <c r="L41" i="10"/>
  <c r="B166" i="20"/>
  <c r="A165" i="20"/>
  <c r="D175" i="20"/>
  <c r="I92" i="20"/>
  <c r="I93" i="20"/>
  <c r="I91" i="20"/>
  <c r="S23" i="10"/>
  <c r="I88" i="20"/>
  <c r="I89" i="20"/>
  <c r="I90" i="20"/>
  <c r="O14" i="8"/>
  <c r="P14" i="8"/>
  <c r="O15" i="8"/>
  <c r="P15" i="8"/>
  <c r="N15" i="8"/>
  <c r="N14" i="8"/>
  <c r="D37" i="8"/>
  <c r="F37" i="8"/>
  <c r="D38" i="8"/>
  <c r="F38" i="8" s="1"/>
  <c r="D39" i="8"/>
  <c r="F39" i="8" s="1"/>
  <c r="G39" i="8"/>
  <c r="D40" i="8"/>
  <c r="F40" i="8" s="1"/>
  <c r="D41" i="8"/>
  <c r="F41" i="8" s="1"/>
  <c r="D42" i="8"/>
  <c r="F42" i="8" s="1"/>
  <c r="E42" i="8"/>
  <c r="D43" i="8"/>
  <c r="F43" i="8"/>
  <c r="D44" i="8"/>
  <c r="F44" i="8" s="1"/>
  <c r="D45" i="8"/>
  <c r="F45" i="8"/>
  <c r="D46" i="8"/>
  <c r="F46" i="8" s="1"/>
  <c r="G46" i="8"/>
  <c r="D47" i="8"/>
  <c r="F47" i="8" s="1"/>
  <c r="D48" i="8"/>
  <c r="F48" i="8" s="1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13" i="8"/>
  <c r="E39" i="8" s="1"/>
  <c r="C13" i="8"/>
  <c r="F33" i="17" l="1"/>
  <c r="E38" i="17"/>
  <c r="E39" i="17" s="1"/>
  <c r="E40" i="17" s="1"/>
  <c r="E41" i="17" s="1"/>
  <c r="E42" i="17" s="1"/>
  <c r="E43" i="17" s="1"/>
  <c r="Q27" i="17"/>
  <c r="P27" i="17" s="1"/>
  <c r="P28" i="17" s="1"/>
  <c r="P29" i="17" s="1"/>
  <c r="P30" i="17" s="1"/>
  <c r="P31" i="17" s="1"/>
  <c r="P32" i="17" s="1"/>
  <c r="S43" i="10"/>
  <c r="T43" i="10"/>
  <c r="R43" i="10"/>
  <c r="Q43" i="10"/>
  <c r="P43" i="10"/>
  <c r="L43" i="10"/>
  <c r="A166" i="20"/>
  <c r="B167" i="20"/>
  <c r="G47" i="8"/>
  <c r="G45" i="8"/>
  <c r="E44" i="8"/>
  <c r="G38" i="8"/>
  <c r="G44" i="8"/>
  <c r="E43" i="8"/>
  <c r="E41" i="8"/>
  <c r="G37" i="8"/>
  <c r="G41" i="8"/>
  <c r="G40" i="8"/>
  <c r="E38" i="8"/>
  <c r="E37" i="8"/>
  <c r="G48" i="8"/>
  <c r="E46" i="8"/>
  <c r="E45" i="8"/>
  <c r="E48" i="8"/>
  <c r="E47" i="8"/>
  <c r="G43" i="8"/>
  <c r="G42" i="8"/>
  <c r="E40" i="8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J105" i="20"/>
  <c r="E49" i="11"/>
  <c r="B49" i="11"/>
  <c r="H49" i="11"/>
  <c r="R23" i="10"/>
  <c r="B78" i="2"/>
  <c r="C61" i="19" s="1"/>
  <c r="J78" i="2"/>
  <c r="K78" i="2" s="1"/>
  <c r="L78" i="2" s="1"/>
  <c r="E48" i="11"/>
  <c r="B48" i="11"/>
  <c r="H48" i="11"/>
  <c r="C43" i="17" l="1"/>
  <c r="C46" i="17" s="1"/>
  <c r="B168" i="20"/>
  <c r="A167" i="20"/>
  <c r="B77" i="2"/>
  <c r="C60" i="19" s="1"/>
  <c r="J77" i="2"/>
  <c r="K77" i="2" s="1"/>
  <c r="L77" i="2" s="1"/>
  <c r="A168" i="20" l="1"/>
  <c r="B169" i="20"/>
  <c r="L122" i="20"/>
  <c r="L112" i="20"/>
  <c r="L109" i="20"/>
  <c r="O30" i="10" l="1" a="1"/>
  <c r="O30" i="10" s="1"/>
  <c r="O32" i="10" a="1"/>
  <c r="O32" i="10" s="1"/>
  <c r="O34" i="10" a="1"/>
  <c r="O34" i="10" s="1"/>
  <c r="O36" i="10" a="1"/>
  <c r="O36" i="10" s="1"/>
  <c r="O38" i="10" a="1"/>
  <c r="O38" i="10" s="1"/>
  <c r="O33" i="10" a="1"/>
  <c r="O33" i="10" s="1"/>
  <c r="O37" i="10" a="1"/>
  <c r="O37" i="10" s="1"/>
  <c r="O40" i="10" a="1"/>
  <c r="O40" i="10" s="1"/>
  <c r="O31" i="10" a="1"/>
  <c r="O31" i="10" s="1"/>
  <c r="O35" i="10" a="1"/>
  <c r="O35" i="10" s="1"/>
  <c r="O39" i="10" a="1"/>
  <c r="O39" i="10" s="1"/>
  <c r="N30" i="10" a="1"/>
  <c r="N30" i="10" s="1"/>
  <c r="N32" i="10" a="1"/>
  <c r="N32" i="10" s="1"/>
  <c r="N34" i="10" a="1"/>
  <c r="N34" i="10" s="1"/>
  <c r="N36" i="10" a="1"/>
  <c r="N36" i="10" s="1"/>
  <c r="N40" i="10" a="1"/>
  <c r="N40" i="10" s="1"/>
  <c r="N37" i="10" a="1"/>
  <c r="N37" i="10" s="1"/>
  <c r="N38" i="10" a="1"/>
  <c r="N38" i="10" s="1"/>
  <c r="N31" i="10" a="1"/>
  <c r="N31" i="10" s="1"/>
  <c r="N33" i="10" a="1"/>
  <c r="N33" i="10" s="1"/>
  <c r="N35" i="10" a="1"/>
  <c r="N35" i="10" s="1"/>
  <c r="N39" i="10" a="1"/>
  <c r="N39" i="10" s="1"/>
  <c r="M32" i="10" a="1"/>
  <c r="M32" i="10" s="1"/>
  <c r="M36" i="10" a="1"/>
  <c r="M36" i="10" s="1"/>
  <c r="M40" i="10" a="1"/>
  <c r="M40" i="10" s="1"/>
  <c r="M33" i="10" a="1"/>
  <c r="M33" i="10" s="1"/>
  <c r="M37" i="10" a="1"/>
  <c r="M37" i="10" s="1"/>
  <c r="M31" i="10" a="1"/>
  <c r="M31" i="10" s="1"/>
  <c r="M35" i="10" a="1"/>
  <c r="M35" i="10" s="1"/>
  <c r="M39" i="10" a="1"/>
  <c r="M39" i="10" s="1"/>
  <c r="M30" i="10" a="1"/>
  <c r="M30" i="10" s="1"/>
  <c r="M34" i="10" a="1"/>
  <c r="M34" i="10" s="1"/>
  <c r="M38" i="10" a="1"/>
  <c r="M38" i="10" s="1"/>
  <c r="B170" i="20"/>
  <c r="A169" i="20"/>
  <c r="N109" i="20"/>
  <c r="L114" i="20"/>
  <c r="S127" i="20"/>
  <c r="L126" i="20" s="1"/>
  <c r="I37" i="10"/>
  <c r="J37" i="10" s="1" a="1"/>
  <c r="J37" i="10" s="1"/>
  <c r="I33" i="10"/>
  <c r="J33" i="10" s="1" a="1"/>
  <c r="J33" i="10" s="1"/>
  <c r="I40" i="10"/>
  <c r="J40" i="10" s="1" a="1"/>
  <c r="J40" i="10" s="1"/>
  <c r="I36" i="10"/>
  <c r="J36" i="10" s="1" a="1"/>
  <c r="J36" i="10" s="1"/>
  <c r="I32" i="10"/>
  <c r="J32" i="10" s="1" a="1"/>
  <c r="J32" i="10" s="1"/>
  <c r="I39" i="10"/>
  <c r="J39" i="10" s="1" a="1"/>
  <c r="J39" i="10" s="1"/>
  <c r="I35" i="10"/>
  <c r="J35" i="10" s="1" a="1"/>
  <c r="J35" i="10" s="1"/>
  <c r="I31" i="10"/>
  <c r="J31" i="10" s="1" a="1"/>
  <c r="J31" i="10" s="1"/>
  <c r="I38" i="10"/>
  <c r="J38" i="10" s="1" a="1"/>
  <c r="J38" i="10" s="1"/>
  <c r="I34" i="10"/>
  <c r="J34" i="10" s="1" a="1"/>
  <c r="J34" i="10" s="1"/>
  <c r="I30" i="10"/>
  <c r="J30" i="10" s="1" a="1"/>
  <c r="J30" i="10" s="1"/>
  <c r="M122" i="20"/>
  <c r="N122" i="20"/>
  <c r="N112" i="20"/>
  <c r="O104" i="20"/>
  <c r="B47" i="11"/>
  <c r="E47" i="11"/>
  <c r="H47" i="11"/>
  <c r="M110" i="20"/>
  <c r="K57" i="20"/>
  <c r="M111" i="20"/>
  <c r="N108" i="20"/>
  <c r="M108" i="20"/>
  <c r="H4" i="15" a="1"/>
  <c r="H4" i="15" s="1"/>
  <c r="E63" i="20"/>
  <c r="I56" i="20"/>
  <c r="I57" i="20"/>
  <c r="I58" i="20"/>
  <c r="I59" i="20"/>
  <c r="I60" i="20"/>
  <c r="I61" i="20"/>
  <c r="I62" i="20"/>
  <c r="I64" i="20"/>
  <c r="Q22" i="10"/>
  <c r="Q23" i="10" s="1"/>
  <c r="I53" i="20"/>
  <c r="I54" i="20"/>
  <c r="I55" i="20"/>
  <c r="I51" i="20"/>
  <c r="I52" i="20"/>
  <c r="I47" i="20"/>
  <c r="I48" i="20"/>
  <c r="I49" i="20"/>
  <c r="I50" i="20"/>
  <c r="O29" i="10" l="1" a="1"/>
  <c r="O29" i="10" s="1"/>
  <c r="N29" i="10" a="1"/>
  <c r="N29" i="10" s="1"/>
  <c r="M29" i="10" a="1"/>
  <c r="M29" i="10" s="1"/>
  <c r="A170" i="20"/>
  <c r="B171" i="20"/>
  <c r="A171" i="20" s="1"/>
  <c r="E172" i="20"/>
  <c r="F63" i="20"/>
  <c r="N114" i="20"/>
  <c r="M114" i="20"/>
  <c r="M126" i="20"/>
  <c r="M130" i="20" s="1"/>
  <c r="N126" i="20"/>
  <c r="N130" i="20" s="1"/>
  <c r="I63" i="20"/>
  <c r="L106" i="20"/>
  <c r="L130" i="20"/>
  <c r="L131" i="20" s="1"/>
  <c r="B75" i="2"/>
  <c r="C58" i="19" s="1"/>
  <c r="N76" i="2"/>
  <c r="B76" i="2" s="1"/>
  <c r="C59" i="19" s="1"/>
  <c r="J75" i="2"/>
  <c r="K75" i="2" s="1"/>
  <c r="L75" i="2" s="1"/>
  <c r="J76" i="2"/>
  <c r="K76" i="2" s="1"/>
  <c r="L76" i="2" s="1"/>
  <c r="I121" i="2"/>
  <c r="B45" i="11"/>
  <c r="E45" i="11"/>
  <c r="H45" i="11"/>
  <c r="B46" i="11"/>
  <c r="E46" i="11"/>
  <c r="H46" i="11"/>
  <c r="L9" i="14"/>
  <c r="J9" i="14"/>
  <c r="I9" i="14"/>
  <c r="E38" i="9"/>
  <c r="D38" i="9"/>
  <c r="F37" i="9"/>
  <c r="F36" i="9"/>
  <c r="F35" i="9"/>
  <c r="F38" i="9" s="1"/>
  <c r="F34" i="9"/>
  <c r="I44" i="20"/>
  <c r="I45" i="20"/>
  <c r="I46" i="20"/>
  <c r="I42" i="20"/>
  <c r="I43" i="20"/>
  <c r="P22" i="10"/>
  <c r="P23" i="10" s="1"/>
  <c r="I40" i="20"/>
  <c r="I41" i="20"/>
  <c r="I36" i="20"/>
  <c r="I37" i="20"/>
  <c r="I38" i="20"/>
  <c r="I39" i="20"/>
  <c r="I29" i="20"/>
  <c r="I30" i="20"/>
  <c r="I31" i="20"/>
  <c r="I32" i="20"/>
  <c r="I33" i="20"/>
  <c r="I34" i="20"/>
  <c r="I35" i="20"/>
  <c r="I28" i="20"/>
  <c r="I27" i="9"/>
  <c r="H27" i="9"/>
  <c r="I26" i="9"/>
  <c r="I13" i="9"/>
  <c r="M13" i="9" s="1"/>
  <c r="L10" i="9"/>
  <c r="M10" i="9"/>
  <c r="K10" i="9"/>
  <c r="I14" i="9"/>
  <c r="J12" i="9"/>
  <c r="M11" i="9"/>
  <c r="L11" i="9"/>
  <c r="K11" i="9"/>
  <c r="J6" i="9"/>
  <c r="I6" i="9"/>
  <c r="K4" i="9"/>
  <c r="M4" i="9" s="1"/>
  <c r="J4" i="14"/>
  <c r="J5" i="14"/>
  <c r="J6" i="14"/>
  <c r="J7" i="14"/>
  <c r="J8" i="14"/>
  <c r="L7" i="14"/>
  <c r="L8" i="14"/>
  <c r="I7" i="14"/>
  <c r="I8" i="14"/>
  <c r="D7" i="14"/>
  <c r="B74" i="2"/>
  <c r="C57" i="19" s="1"/>
  <c r="J74" i="2"/>
  <c r="K74" i="2" s="1"/>
  <c r="L74" i="2" s="1"/>
  <c r="B44" i="11"/>
  <c r="E44" i="11"/>
  <c r="H44" i="11"/>
  <c r="B5" i="20"/>
  <c r="A5" i="20" s="1"/>
  <c r="O22" i="10"/>
  <c r="O23" i="10" s="1"/>
  <c r="E26" i="11"/>
  <c r="H26" i="11"/>
  <c r="E173" i="20"/>
  <c r="F173" i="20"/>
  <c r="O41" i="10" l="1"/>
  <c r="O42" i="10"/>
  <c r="M41" i="10"/>
  <c r="M42" i="10"/>
  <c r="N41" i="10"/>
  <c r="N42" i="10"/>
  <c r="J29" i="10" a="1"/>
  <c r="J29" i="10" s="1"/>
  <c r="L121" i="20"/>
  <c r="N121" i="20" s="1"/>
  <c r="N123" i="20" s="1"/>
  <c r="B6" i="20"/>
  <c r="N106" i="20"/>
  <c r="M106" i="20"/>
  <c r="F172" i="20"/>
  <c r="I18" i="9"/>
  <c r="I21" i="9" s="1"/>
  <c r="L19" i="9" s="1"/>
  <c r="K12" i="9"/>
  <c r="K14" i="9" s="1"/>
  <c r="K15" i="9" s="1"/>
  <c r="J16" i="9"/>
  <c r="M12" i="9"/>
  <c r="M14" i="9" s="1"/>
  <c r="M15" i="9" s="1"/>
  <c r="L12" i="9"/>
  <c r="L14" i="9" s="1"/>
  <c r="K5" i="9"/>
  <c r="M5" i="9" s="1"/>
  <c r="L4" i="9"/>
  <c r="L5" i="9" s="1"/>
  <c r="L6" i="9" s="1"/>
  <c r="L5" i="14"/>
  <c r="L6" i="14"/>
  <c r="I4" i="14"/>
  <c r="I5" i="14"/>
  <c r="I6" i="14"/>
  <c r="D6" i="14"/>
  <c r="B73" i="2"/>
  <c r="J73" i="2"/>
  <c r="K73" i="2" s="1"/>
  <c r="L73" i="2" s="1"/>
  <c r="E32" i="11"/>
  <c r="H32" i="11"/>
  <c r="B33" i="11"/>
  <c r="E33" i="11"/>
  <c r="E29" i="11"/>
  <c r="H29" i="11"/>
  <c r="E23" i="11"/>
  <c r="H23" i="11"/>
  <c r="N66" i="2"/>
  <c r="B66" i="2" s="1"/>
  <c r="N71" i="2"/>
  <c r="B71" i="2" s="1"/>
  <c r="C46" i="19" s="1"/>
  <c r="B72" i="2"/>
  <c r="C86" i="15" s="1"/>
  <c r="E30" i="11"/>
  <c r="H30" i="11"/>
  <c r="H47" i="19"/>
  <c r="I47" i="19"/>
  <c r="J47" i="19"/>
  <c r="H31" i="19"/>
  <c r="I31" i="19"/>
  <c r="J31" i="19"/>
  <c r="B54" i="2"/>
  <c r="J54" i="2"/>
  <c r="K54" i="2" s="1"/>
  <c r="L54" i="2" s="1"/>
  <c r="H48" i="19"/>
  <c r="I48" i="19"/>
  <c r="J48" i="19"/>
  <c r="N67" i="2"/>
  <c r="B67" i="2" s="1"/>
  <c r="J67" i="2"/>
  <c r="K67" i="2" s="1"/>
  <c r="L67" i="2" s="1"/>
  <c r="J72" i="2"/>
  <c r="K72" i="2" s="1"/>
  <c r="L72" i="2" s="1"/>
  <c r="E20" i="11"/>
  <c r="H20" i="11"/>
  <c r="D79" i="11"/>
  <c r="B42" i="11"/>
  <c r="E42" i="11"/>
  <c r="H42" i="11"/>
  <c r="B43" i="11"/>
  <c r="E43" i="11"/>
  <c r="H43" i="11"/>
  <c r="E27" i="11"/>
  <c r="H27" i="11"/>
  <c r="E28" i="11"/>
  <c r="H28" i="11"/>
  <c r="G22" i="19"/>
  <c r="H22" i="19"/>
  <c r="I22" i="19"/>
  <c r="J22" i="19"/>
  <c r="J44" i="2"/>
  <c r="K49" i="19"/>
  <c r="G16" i="19"/>
  <c r="G18" i="19"/>
  <c r="G19" i="19"/>
  <c r="G4" i="19"/>
  <c r="G5" i="19"/>
  <c r="G6" i="19"/>
  <c r="G9" i="19"/>
  <c r="G17" i="19"/>
  <c r="G12" i="19"/>
  <c r="G13" i="19"/>
  <c r="G14" i="19"/>
  <c r="G20" i="19"/>
  <c r="G21" i="19"/>
  <c r="G23" i="19"/>
  <c r="G26" i="19"/>
  <c r="G7" i="19"/>
  <c r="G8" i="19"/>
  <c r="G10" i="19"/>
  <c r="G11" i="19"/>
  <c r="G24" i="19"/>
  <c r="G25" i="19"/>
  <c r="H24" i="19"/>
  <c r="I24" i="19"/>
  <c r="J24" i="19"/>
  <c r="H25" i="19"/>
  <c r="I25" i="19"/>
  <c r="J25" i="19"/>
  <c r="J36" i="2"/>
  <c r="K36" i="2" s="1"/>
  <c r="L36" i="2" s="1"/>
  <c r="J37" i="2"/>
  <c r="K37" i="2" s="1"/>
  <c r="L37" i="2" s="1"/>
  <c r="G15" i="19"/>
  <c r="J15" i="19"/>
  <c r="J16" i="19"/>
  <c r="J18" i="19"/>
  <c r="J19" i="19"/>
  <c r="J28" i="19"/>
  <c r="J30" i="19"/>
  <c r="J32" i="19"/>
  <c r="J33" i="19"/>
  <c r="J34" i="19"/>
  <c r="J35" i="19"/>
  <c r="J36" i="19"/>
  <c r="J37" i="19"/>
  <c r="J38" i="19"/>
  <c r="J4" i="19"/>
  <c r="J5" i="19"/>
  <c r="J6" i="19"/>
  <c r="J9" i="19"/>
  <c r="J17" i="19"/>
  <c r="J12" i="19"/>
  <c r="J13" i="19"/>
  <c r="J14" i="19"/>
  <c r="J20" i="19"/>
  <c r="J21" i="19"/>
  <c r="J23" i="19"/>
  <c r="J26" i="19"/>
  <c r="J27" i="19"/>
  <c r="J29" i="19"/>
  <c r="J39" i="19"/>
  <c r="J40" i="19"/>
  <c r="J41" i="19"/>
  <c r="J42" i="19"/>
  <c r="J43" i="19"/>
  <c r="J44" i="19"/>
  <c r="J7" i="19"/>
  <c r="J8" i="19"/>
  <c r="J10" i="19"/>
  <c r="J11" i="19"/>
  <c r="J45" i="19"/>
  <c r="J46" i="19"/>
  <c r="I15" i="19"/>
  <c r="I16" i="19"/>
  <c r="I18" i="19"/>
  <c r="I19" i="19"/>
  <c r="I28" i="19"/>
  <c r="I30" i="19"/>
  <c r="I32" i="19"/>
  <c r="I33" i="19"/>
  <c r="I34" i="19"/>
  <c r="I35" i="19"/>
  <c r="I36" i="19"/>
  <c r="I37" i="19"/>
  <c r="I38" i="19"/>
  <c r="I4" i="19"/>
  <c r="I5" i="19"/>
  <c r="I6" i="19"/>
  <c r="I9" i="19"/>
  <c r="I17" i="19"/>
  <c r="I12" i="19"/>
  <c r="I13" i="19"/>
  <c r="I14" i="19"/>
  <c r="I20" i="19"/>
  <c r="I21" i="19"/>
  <c r="I23" i="19"/>
  <c r="I26" i="19"/>
  <c r="I27" i="19"/>
  <c r="I29" i="19"/>
  <c r="I39" i="19"/>
  <c r="I40" i="19"/>
  <c r="I41" i="19"/>
  <c r="I42" i="19"/>
  <c r="I43" i="19"/>
  <c r="I44" i="19"/>
  <c r="I7" i="19"/>
  <c r="I8" i="19"/>
  <c r="I10" i="19"/>
  <c r="I11" i="19"/>
  <c r="I45" i="19"/>
  <c r="I46" i="19"/>
  <c r="H15" i="19"/>
  <c r="H16" i="19"/>
  <c r="H18" i="19"/>
  <c r="H19" i="19"/>
  <c r="H28" i="19"/>
  <c r="H30" i="19"/>
  <c r="H32" i="19"/>
  <c r="H33" i="19"/>
  <c r="H34" i="19"/>
  <c r="H35" i="19"/>
  <c r="H36" i="19"/>
  <c r="H37" i="19"/>
  <c r="H38" i="19"/>
  <c r="H4" i="19"/>
  <c r="H5" i="19"/>
  <c r="H6" i="19"/>
  <c r="H9" i="19"/>
  <c r="H17" i="19"/>
  <c r="H12" i="19"/>
  <c r="H13" i="19"/>
  <c r="H14" i="19"/>
  <c r="H20" i="19"/>
  <c r="H21" i="19"/>
  <c r="H23" i="19"/>
  <c r="H26" i="19"/>
  <c r="H27" i="19"/>
  <c r="H29" i="19"/>
  <c r="H39" i="19"/>
  <c r="H40" i="19"/>
  <c r="H41" i="19"/>
  <c r="H42" i="19"/>
  <c r="H43" i="19"/>
  <c r="H44" i="19"/>
  <c r="H7" i="19"/>
  <c r="H8" i="19"/>
  <c r="H10" i="19"/>
  <c r="H11" i="19"/>
  <c r="H45" i="19"/>
  <c r="H46" i="19"/>
  <c r="N22" i="10"/>
  <c r="N23" i="10" s="1"/>
  <c r="B41" i="11"/>
  <c r="E41" i="11"/>
  <c r="H41" i="11"/>
  <c r="J23" i="2"/>
  <c r="J24" i="2"/>
  <c r="J21" i="2"/>
  <c r="J9" i="2"/>
  <c r="K9" i="2" s="1"/>
  <c r="L9" i="2" s="1"/>
  <c r="N13" i="2"/>
  <c r="J13" i="2"/>
  <c r="K13" i="2" s="1"/>
  <c r="L13" i="2" s="1"/>
  <c r="J66" i="2"/>
  <c r="K66" i="2" s="1"/>
  <c r="L66" i="2" s="1"/>
  <c r="J71" i="2"/>
  <c r="K71" i="2" s="1"/>
  <c r="L71" i="2" s="1"/>
  <c r="B39" i="11"/>
  <c r="L21" i="2"/>
  <c r="H39" i="11"/>
  <c r="H40" i="11"/>
  <c r="E40" i="11"/>
  <c r="E39" i="11"/>
  <c r="E2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1" i="11"/>
  <c r="E22" i="11"/>
  <c r="E24" i="11"/>
  <c r="E25" i="11"/>
  <c r="E31" i="11"/>
  <c r="E34" i="11"/>
  <c r="E35" i="11"/>
  <c r="E36" i="11"/>
  <c r="E37" i="11"/>
  <c r="E38" i="11"/>
  <c r="M22" i="10"/>
  <c r="M23" i="10" s="1"/>
  <c r="H16" i="11"/>
  <c r="H17" i="11"/>
  <c r="H18" i="11"/>
  <c r="H19" i="11"/>
  <c r="H21" i="11"/>
  <c r="H22" i="11"/>
  <c r="H24" i="11"/>
  <c r="H25" i="11"/>
  <c r="H31" i="11"/>
  <c r="H33" i="11"/>
  <c r="H34" i="11"/>
  <c r="H35" i="11"/>
  <c r="H36" i="11"/>
  <c r="H37" i="11"/>
  <c r="H38" i="11"/>
  <c r="L22" i="10"/>
  <c r="L23" i="10" s="1"/>
  <c r="K22" i="10"/>
  <c r="K23" i="10" s="1"/>
  <c r="A5" i="14"/>
  <c r="A6" i="14" s="1"/>
  <c r="A7" i="14" s="1"/>
  <c r="A8" i="14" s="1"/>
  <c r="A9" i="14" s="1"/>
  <c r="A10" i="14" s="1"/>
  <c r="A11" i="14" s="1"/>
  <c r="A12" i="14" s="1"/>
  <c r="A13" i="14" s="1"/>
  <c r="A14" i="14" s="1"/>
  <c r="B34" i="11"/>
  <c r="B19" i="11"/>
  <c r="B15" i="11"/>
  <c r="B2" i="11"/>
  <c r="B3" i="11"/>
  <c r="B4" i="11"/>
  <c r="B5" i="11"/>
  <c r="B6" i="11"/>
  <c r="B7" i="11"/>
  <c r="B8" i="11"/>
  <c r="B9" i="11"/>
  <c r="B10" i="11"/>
  <c r="B11" i="11"/>
  <c r="B12" i="11"/>
  <c r="B13" i="11"/>
  <c r="B14" i="11"/>
  <c r="B16" i="11"/>
  <c r="B17" i="11"/>
  <c r="B18" i="11"/>
  <c r="B21" i="11"/>
  <c r="B22" i="11"/>
  <c r="B24" i="11"/>
  <c r="B25" i="11"/>
  <c r="B31" i="11"/>
  <c r="B35" i="11"/>
  <c r="B36" i="11"/>
  <c r="B37" i="11"/>
  <c r="B38" i="11"/>
  <c r="B40" i="11"/>
  <c r="B47" i="2"/>
  <c r="C27" i="19" s="1"/>
  <c r="B48" i="2"/>
  <c r="B52" i="2"/>
  <c r="M1" i="2"/>
  <c r="J70" i="2"/>
  <c r="K70" i="2" s="1"/>
  <c r="L70" i="2" s="1"/>
  <c r="J68" i="2"/>
  <c r="K68" i="2" s="1"/>
  <c r="L68" i="2" s="1"/>
  <c r="B70" i="2"/>
  <c r="C88" i="15" s="1"/>
  <c r="B68" i="2"/>
  <c r="B62" i="2"/>
  <c r="J62" i="2"/>
  <c r="K62" i="2" s="1"/>
  <c r="L62" i="2" s="1"/>
  <c r="B63" i="2"/>
  <c r="J63" i="2"/>
  <c r="K63" i="2" s="1"/>
  <c r="L63" i="2" s="1"/>
  <c r="B64" i="2"/>
  <c r="J64" i="2"/>
  <c r="K64" i="2" s="1"/>
  <c r="L64" i="2" s="1"/>
  <c r="B69" i="2"/>
  <c r="C89" i="15" s="1"/>
  <c r="J69" i="2"/>
  <c r="K69" i="2" s="1"/>
  <c r="L69" i="2" s="1"/>
  <c r="B65" i="2"/>
  <c r="J65" i="2"/>
  <c r="K65" i="2" s="1"/>
  <c r="L65" i="2" s="1"/>
  <c r="F79" i="1"/>
  <c r="F80" i="1"/>
  <c r="F81" i="1"/>
  <c r="F82" i="1"/>
  <c r="H21" i="12"/>
  <c r="H2" i="1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E89" i="1"/>
  <c r="F69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51" i="1"/>
  <c r="F52" i="1"/>
  <c r="F53" i="1"/>
  <c r="F54" i="1"/>
  <c r="I37" i="1"/>
  <c r="J37" i="1"/>
  <c r="E22" i="9"/>
  <c r="E25" i="9"/>
  <c r="F22" i="9"/>
  <c r="F25" i="9" s="1"/>
  <c r="D25" i="9"/>
  <c r="D14" i="9"/>
  <c r="E14" i="9"/>
  <c r="E16" i="9" s="1"/>
  <c r="D15" i="9"/>
  <c r="F15" i="9" s="1"/>
  <c r="D13" i="9"/>
  <c r="D16" i="9" s="1"/>
  <c r="E12" i="9"/>
  <c r="D12" i="9"/>
  <c r="F5" i="9"/>
  <c r="F6" i="9"/>
  <c r="F7" i="9"/>
  <c r="F4" i="9"/>
  <c r="B14" i="8"/>
  <c r="C6" i="8"/>
  <c r="E5" i="8"/>
  <c r="E6" i="8" s="1"/>
  <c r="E7" i="8" s="1"/>
  <c r="G5" i="8"/>
  <c r="G4" i="8"/>
  <c r="G6" i="8" s="1"/>
  <c r="G7" i="8" s="1"/>
  <c r="H8" i="7"/>
  <c r="H10" i="7"/>
  <c r="H7" i="7"/>
  <c r="C7" i="7"/>
  <c r="C8" i="7"/>
  <c r="B20" i="2"/>
  <c r="B26" i="2"/>
  <c r="B27" i="2"/>
  <c r="B32" i="2"/>
  <c r="B40" i="2"/>
  <c r="B42" i="2"/>
  <c r="F17" i="8"/>
  <c r="F12" i="9"/>
  <c r="E11" i="8"/>
  <c r="F19" i="8"/>
  <c r="F30" i="8"/>
  <c r="F20" i="8"/>
  <c r="F22" i="8"/>
  <c r="F14" i="8"/>
  <c r="F35" i="8"/>
  <c r="F31" i="8"/>
  <c r="B15" i="8"/>
  <c r="B16" i="8"/>
  <c r="B17" i="8"/>
  <c r="B18" i="8"/>
  <c r="B19" i="8"/>
  <c r="G24" i="8"/>
  <c r="C10" i="7"/>
  <c r="F15" i="6"/>
  <c r="G15" i="6"/>
  <c r="F78" i="1"/>
  <c r="F76" i="1"/>
  <c r="F77" i="1"/>
  <c r="E31" i="6"/>
  <c r="F31" i="6"/>
  <c r="G31" i="6"/>
  <c r="D30" i="6"/>
  <c r="E29" i="6"/>
  <c r="F29" i="6"/>
  <c r="G29" i="6"/>
  <c r="E28" i="6"/>
  <c r="F28" i="6"/>
  <c r="G28" i="6"/>
  <c r="E18" i="6"/>
  <c r="F14" i="6"/>
  <c r="G14" i="6"/>
  <c r="B14" i="6"/>
  <c r="F13" i="6"/>
  <c r="G13" i="6"/>
  <c r="D13" i="6"/>
  <c r="F12" i="6"/>
  <c r="G12" i="6"/>
  <c r="D12" i="6"/>
  <c r="F11" i="6"/>
  <c r="G11" i="6"/>
  <c r="D11" i="6"/>
  <c r="F10" i="6"/>
  <c r="G10" i="6"/>
  <c r="D10" i="6"/>
  <c r="F9" i="6"/>
  <c r="G9" i="6"/>
  <c r="D9" i="6"/>
  <c r="F8" i="6"/>
  <c r="G8" i="6"/>
  <c r="D8" i="6"/>
  <c r="F7" i="6"/>
  <c r="G7" i="6"/>
  <c r="D7" i="6"/>
  <c r="F6" i="6"/>
  <c r="D6" i="6"/>
  <c r="F5" i="6"/>
  <c r="D5" i="6"/>
  <c r="D18" i="6"/>
  <c r="D26" i="6"/>
  <c r="D24" i="6"/>
  <c r="D22" i="6"/>
  <c r="D21" i="6"/>
  <c r="G5" i="6"/>
  <c r="F75" i="1"/>
  <c r="F74" i="1"/>
  <c r="F72" i="1"/>
  <c r="F73" i="1"/>
  <c r="F71" i="1"/>
  <c r="F70" i="1"/>
  <c r="B53" i="2"/>
  <c r="B50" i="2"/>
  <c r="B49" i="2"/>
  <c r="J10" i="2"/>
  <c r="J8" i="2"/>
  <c r="J12" i="2"/>
  <c r="K12" i="2" s="1"/>
  <c r="L12" i="2" s="1"/>
  <c r="J15" i="2"/>
  <c r="J7" i="2"/>
  <c r="K7" i="2" s="1"/>
  <c r="L7" i="2" s="1"/>
  <c r="J4" i="2"/>
  <c r="J5" i="2"/>
  <c r="J6" i="2"/>
  <c r="J11" i="2"/>
  <c r="K11" i="2" s="1"/>
  <c r="L11" i="2" s="1"/>
  <c r="J17" i="2"/>
  <c r="J16" i="2"/>
  <c r="J18" i="2"/>
  <c r="J58" i="2"/>
  <c r="K58" i="2" s="1"/>
  <c r="L58" i="2" s="1"/>
  <c r="J61" i="2"/>
  <c r="K61" i="2" s="1"/>
  <c r="L61" i="2" s="1"/>
  <c r="J59" i="2"/>
  <c r="K59" i="2" s="1"/>
  <c r="L59" i="2" s="1"/>
  <c r="J60" i="2"/>
  <c r="K60" i="2" s="1"/>
  <c r="L60" i="2" s="1"/>
  <c r="J55" i="2"/>
  <c r="K55" i="2" s="1"/>
  <c r="L55" i="2" s="1"/>
  <c r="J57" i="2"/>
  <c r="K57" i="2" s="1"/>
  <c r="L57" i="2" s="1"/>
  <c r="J52" i="2"/>
  <c r="K52" i="2" s="1"/>
  <c r="L52" i="2" s="1"/>
  <c r="J56" i="2"/>
  <c r="K56" i="2" s="1"/>
  <c r="L56" i="2" s="1"/>
  <c r="J51" i="2"/>
  <c r="K51" i="2" s="1"/>
  <c r="L51" i="2" s="1"/>
  <c r="J48" i="2"/>
  <c r="K48" i="2" s="1"/>
  <c r="L48" i="2" s="1"/>
  <c r="B61" i="2"/>
  <c r="B59" i="2"/>
  <c r="B60" i="2"/>
  <c r="B55" i="2"/>
  <c r="B57" i="2"/>
  <c r="B56" i="2"/>
  <c r="B51" i="2"/>
  <c r="B58" i="2"/>
  <c r="N8" i="5"/>
  <c r="P8" i="5"/>
  <c r="F22" i="5"/>
  <c r="N9" i="5"/>
  <c r="P9" i="5"/>
  <c r="N10" i="5"/>
  <c r="P10" i="5"/>
  <c r="N7" i="5"/>
  <c r="P7" i="5"/>
  <c r="M11" i="5"/>
  <c r="N11" i="5"/>
  <c r="P11" i="5"/>
  <c r="F25" i="5"/>
  <c r="M12" i="5"/>
  <c r="N12" i="5"/>
  <c r="P12" i="5"/>
  <c r="F23" i="5"/>
  <c r="M13" i="5"/>
  <c r="N13" i="5"/>
  <c r="P13" i="5"/>
  <c r="M14" i="5"/>
  <c r="N14" i="5"/>
  <c r="P14" i="5"/>
  <c r="F24" i="5"/>
  <c r="E20" i="5"/>
  <c r="D20" i="5"/>
  <c r="D14" i="5"/>
  <c r="E14" i="5"/>
  <c r="E13" i="5"/>
  <c r="E15" i="5"/>
  <c r="F18" i="5"/>
  <c r="D16" i="5"/>
  <c r="E16" i="5"/>
  <c r="F16" i="5"/>
  <c r="G11" i="5"/>
  <c r="H11" i="5"/>
  <c r="J53" i="2"/>
  <c r="K53" i="2" s="1"/>
  <c r="L53" i="2" s="1"/>
  <c r="F26" i="5"/>
  <c r="I69" i="1"/>
  <c r="F50" i="1"/>
  <c r="J49" i="2"/>
  <c r="K49" i="2" s="1"/>
  <c r="L49" i="2" s="1"/>
  <c r="J50" i="2"/>
  <c r="K50" i="2" s="1"/>
  <c r="L50" i="2" s="1"/>
  <c r="F49" i="1"/>
  <c r="F48" i="1"/>
  <c r="J47" i="2"/>
  <c r="K47" i="2" s="1"/>
  <c r="L47" i="2" s="1"/>
  <c r="J46" i="2"/>
  <c r="K46" i="2" s="1"/>
  <c r="L46" i="2" s="1"/>
  <c r="J45" i="2"/>
  <c r="K45" i="2" s="1"/>
  <c r="L45" i="2" s="1"/>
  <c r="F47" i="1"/>
  <c r="F46" i="1"/>
  <c r="J22" i="2"/>
  <c r="K22" i="2" s="1"/>
  <c r="L22" i="2" s="1"/>
  <c r="I44" i="1"/>
  <c r="J39" i="2"/>
  <c r="K39" i="2" s="1"/>
  <c r="L39" i="2" s="1"/>
  <c r="J40" i="2"/>
  <c r="K40" i="2" s="1"/>
  <c r="L40" i="2" s="1"/>
  <c r="J41" i="2"/>
  <c r="K41" i="2" s="1"/>
  <c r="L41" i="2" s="1"/>
  <c r="J42" i="2"/>
  <c r="K42" i="2" s="1"/>
  <c r="L42" i="2" s="1"/>
  <c r="F45" i="1"/>
  <c r="F44" i="1"/>
  <c r="F42" i="1"/>
  <c r="F43" i="1"/>
  <c r="F41" i="1"/>
  <c r="F40" i="1"/>
  <c r="I38" i="1"/>
  <c r="I39" i="1"/>
  <c r="I36" i="1"/>
  <c r="J36" i="1"/>
  <c r="F39" i="1"/>
  <c r="F38" i="1"/>
  <c r="M21" i="1"/>
  <c r="M25" i="1"/>
  <c r="M24" i="1"/>
  <c r="M32" i="1"/>
  <c r="M34" i="1"/>
  <c r="M35" i="1"/>
  <c r="J28" i="2"/>
  <c r="K28" i="2" s="1"/>
  <c r="L28" i="2" s="1"/>
  <c r="J35" i="2"/>
  <c r="K35" i="2" s="1"/>
  <c r="L35" i="2" s="1"/>
  <c r="J33" i="2"/>
  <c r="J34" i="2"/>
  <c r="J29" i="2"/>
  <c r="K29" i="2" s="1"/>
  <c r="L29" i="2" s="1"/>
  <c r="I33" i="1"/>
  <c r="J33" i="1" s="1"/>
  <c r="F33" i="1"/>
  <c r="F34" i="1"/>
  <c r="F35" i="1"/>
  <c r="F36" i="1"/>
  <c r="F37" i="1"/>
  <c r="F32" i="1"/>
  <c r="K24" i="1"/>
  <c r="F7" i="1"/>
  <c r="F13" i="1"/>
  <c r="F14" i="1"/>
  <c r="F15" i="1"/>
  <c r="F16" i="1"/>
  <c r="F8" i="1"/>
  <c r="F17" i="1"/>
  <c r="F18" i="1"/>
  <c r="C15" i="3"/>
  <c r="D29" i="3"/>
  <c r="C29" i="3"/>
  <c r="O5" i="3"/>
  <c r="O6" i="3"/>
  <c r="O7" i="3"/>
  <c r="O8" i="3"/>
  <c r="C7" i="3"/>
  <c r="D9" i="3"/>
  <c r="E9" i="3"/>
  <c r="C8" i="3"/>
  <c r="F8" i="3"/>
  <c r="E8" i="3"/>
  <c r="G8" i="3"/>
  <c r="C6" i="3"/>
  <c r="C5" i="3"/>
  <c r="E5" i="3"/>
  <c r="C4" i="3"/>
  <c r="F4" i="3"/>
  <c r="I21" i="3"/>
  <c r="O10" i="3"/>
  <c r="F5" i="3"/>
  <c r="F9" i="1"/>
  <c r="F10" i="1"/>
  <c r="F11" i="1"/>
  <c r="F12" i="1"/>
  <c r="F19" i="1"/>
  <c r="F20" i="1"/>
  <c r="F21" i="1"/>
  <c r="F22" i="1"/>
  <c r="F23" i="1"/>
  <c r="F24" i="1"/>
  <c r="F25" i="1"/>
  <c r="F27" i="1"/>
  <c r="F28" i="1"/>
  <c r="F26" i="1"/>
  <c r="F30" i="1"/>
  <c r="F31" i="1"/>
  <c r="F6" i="1"/>
  <c r="J32" i="2"/>
  <c r="K32" i="2" s="1"/>
  <c r="L32" i="2" s="1"/>
  <c r="J19" i="2"/>
  <c r="K19" i="2" s="1"/>
  <c r="L19" i="2" s="1"/>
  <c r="J25" i="2"/>
  <c r="J20" i="2"/>
  <c r="K20" i="2" s="1"/>
  <c r="L20" i="2" s="1"/>
  <c r="J26" i="2"/>
  <c r="K26" i="2" s="1"/>
  <c r="L26" i="2" s="1"/>
  <c r="J27" i="2"/>
  <c r="K27" i="2" s="1"/>
  <c r="L27" i="2" s="1"/>
  <c r="J30" i="2"/>
  <c r="K30" i="2" s="1"/>
  <c r="L30" i="2" s="1"/>
  <c r="J31" i="2"/>
  <c r="K31" i="2" s="1"/>
  <c r="L31" i="2" s="1"/>
  <c r="J38" i="2"/>
  <c r="J43" i="2"/>
  <c r="J14" i="2"/>
  <c r="K14" i="2" s="1"/>
  <c r="L14" i="2" s="1"/>
  <c r="I28" i="1"/>
  <c r="I17" i="1"/>
  <c r="I19" i="1"/>
  <c r="K31" i="1"/>
  <c r="F29" i="1"/>
  <c r="M29" i="1"/>
  <c r="I29" i="1"/>
  <c r="J31" i="1"/>
  <c r="M22" i="1"/>
  <c r="K30" i="1"/>
  <c r="I22" i="1"/>
  <c r="J30" i="1"/>
  <c r="K7" i="1"/>
  <c r="K25" i="1"/>
  <c r="J20" i="1"/>
  <c r="J24" i="1"/>
  <c r="J25" i="1"/>
  <c r="I18" i="1"/>
  <c r="I7" i="1"/>
  <c r="J21" i="1"/>
  <c r="I14" i="1"/>
  <c r="I15" i="1"/>
  <c r="I11" i="1"/>
  <c r="M11" i="1"/>
  <c r="I10" i="1"/>
  <c r="M10" i="1"/>
  <c r="I9" i="1"/>
  <c r="L7" i="1"/>
  <c r="M7" i="1"/>
  <c r="C19" i="3"/>
  <c r="E28" i="3"/>
  <c r="E15" i="3"/>
  <c r="G15" i="3"/>
  <c r="H15" i="3"/>
  <c r="K15" i="3"/>
  <c r="I15" i="3"/>
  <c r="J15" i="3"/>
  <c r="B20" i="8"/>
  <c r="F16" i="8"/>
  <c r="G27" i="8"/>
  <c r="G34" i="8"/>
  <c r="G17" i="8"/>
  <c r="G15" i="8"/>
  <c r="G32" i="8"/>
  <c r="G19" i="8"/>
  <c r="C9" i="3"/>
  <c r="H21" i="3"/>
  <c r="C18" i="3"/>
  <c r="G6" i="6"/>
  <c r="G18" i="6"/>
  <c r="F18" i="6"/>
  <c r="G23" i="8"/>
  <c r="G36" i="8"/>
  <c r="G5" i="3"/>
  <c r="D32" i="6"/>
  <c r="D34" i="6"/>
  <c r="F30" i="6"/>
  <c r="E30" i="6"/>
  <c r="E32" i="6"/>
  <c r="E34" i="6"/>
  <c r="E13" i="8"/>
  <c r="G25" i="8"/>
  <c r="E4" i="3"/>
  <c r="G4" i="3"/>
  <c r="F7" i="3"/>
  <c r="E7" i="3"/>
  <c r="G7" i="3"/>
  <c r="D17" i="5"/>
  <c r="G25" i="5"/>
  <c r="P15" i="5"/>
  <c r="E15" i="8"/>
  <c r="G20" i="8"/>
  <c r="G28" i="8"/>
  <c r="F6" i="3"/>
  <c r="F9" i="3"/>
  <c r="E6" i="3"/>
  <c r="F15" i="8"/>
  <c r="F36" i="8"/>
  <c r="F18" i="8"/>
  <c r="K50" i="19"/>
  <c r="G22" i="5"/>
  <c r="B21" i="8"/>
  <c r="E20" i="8"/>
  <c r="I23" i="3"/>
  <c r="I22" i="3"/>
  <c r="H22" i="3"/>
  <c r="F19" i="5"/>
  <c r="F20" i="5"/>
  <c r="G20" i="5"/>
  <c r="G26" i="5"/>
  <c r="G21" i="5"/>
  <c r="G6" i="3"/>
  <c r="G30" i="6"/>
  <c r="G32" i="6"/>
  <c r="G34" i="6"/>
  <c r="F32" i="6"/>
  <c r="F34" i="6"/>
  <c r="K18" i="3"/>
  <c r="J18" i="3"/>
  <c r="H18" i="3"/>
  <c r="I18" i="3"/>
  <c r="C17" i="3"/>
  <c r="G23" i="5"/>
  <c r="G9" i="3"/>
  <c r="G3" i="3"/>
  <c r="J21" i="3"/>
  <c r="K21" i="3"/>
  <c r="G24" i="5"/>
  <c r="I24" i="3"/>
  <c r="H24" i="3"/>
  <c r="H23" i="3"/>
  <c r="K17" i="3"/>
  <c r="C20" i="3"/>
  <c r="G19" i="5"/>
  <c r="B19" i="5"/>
  <c r="F27" i="5"/>
  <c r="H12" i="5"/>
  <c r="H13" i="5"/>
  <c r="J22" i="3"/>
  <c r="G22" i="3"/>
  <c r="K22" i="3"/>
  <c r="B22" i="8"/>
  <c r="F21" i="8"/>
  <c r="G13" i="5"/>
  <c r="F28" i="5"/>
  <c r="J17" i="3"/>
  <c r="K20" i="3"/>
  <c r="B23" i="8"/>
  <c r="J23" i="3"/>
  <c r="K23" i="3"/>
  <c r="K24" i="3"/>
  <c r="J24" i="3"/>
  <c r="H17" i="3"/>
  <c r="J20" i="3"/>
  <c r="B24" i="8"/>
  <c r="E23" i="8"/>
  <c r="F23" i="8"/>
  <c r="K25" i="3"/>
  <c r="J25" i="3"/>
  <c r="H25" i="3"/>
  <c r="F29" i="5"/>
  <c r="E28" i="5"/>
  <c r="I17" i="3"/>
  <c r="I20" i="3"/>
  <c r="I25" i="3"/>
  <c r="H20" i="3"/>
  <c r="B25" i="8"/>
  <c r="F24" i="8"/>
  <c r="B26" i="8"/>
  <c r="F25" i="8"/>
  <c r="B27" i="8"/>
  <c r="E26" i="8"/>
  <c r="F26" i="8"/>
  <c r="B28" i="8"/>
  <c r="F27" i="8"/>
  <c r="E27" i="8"/>
  <c r="B29" i="8"/>
  <c r="E28" i="8"/>
  <c r="F28" i="8"/>
  <c r="B30" i="8"/>
  <c r="F29" i="8"/>
  <c r="B31" i="8"/>
  <c r="E30" i="8"/>
  <c r="B32" i="8"/>
  <c r="E31" i="8"/>
  <c r="B33" i="8"/>
  <c r="F32" i="8"/>
  <c r="B34" i="8"/>
  <c r="F33" i="8"/>
  <c r="E33" i="8"/>
  <c r="B35" i="8"/>
  <c r="F34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C56" i="19" l="1"/>
  <c r="C87" i="15"/>
  <c r="H5" i="15" s="1" a="1"/>
  <c r="G37" i="19"/>
  <c r="C37" i="19"/>
  <c r="C48" i="19"/>
  <c r="C52" i="19"/>
  <c r="C51" i="19"/>
  <c r="C45" i="19"/>
  <c r="G33" i="19"/>
  <c r="C33" i="19"/>
  <c r="G36" i="19"/>
  <c r="C36" i="19"/>
  <c r="G29" i="19"/>
  <c r="C29" i="19"/>
  <c r="G28" i="19"/>
  <c r="C28" i="19"/>
  <c r="G31" i="19"/>
  <c r="C31" i="19"/>
  <c r="G41" i="19"/>
  <c r="C41" i="19"/>
  <c r="C53" i="19"/>
  <c r="G43" i="19"/>
  <c r="C54" i="19"/>
  <c r="C43" i="19"/>
  <c r="G30" i="19"/>
  <c r="C30" i="19"/>
  <c r="G34" i="19"/>
  <c r="C34" i="19"/>
  <c r="G38" i="19"/>
  <c r="C38" i="19"/>
  <c r="G42" i="19"/>
  <c r="C42" i="19"/>
  <c r="C50" i="19"/>
  <c r="G40" i="19"/>
  <c r="C49" i="19"/>
  <c r="C40" i="19"/>
  <c r="G39" i="19"/>
  <c r="C39" i="19"/>
  <c r="G47" i="19"/>
  <c r="C47" i="19"/>
  <c r="C55" i="19"/>
  <c r="G35" i="19"/>
  <c r="C35" i="19"/>
  <c r="G32" i="19"/>
  <c r="C32" i="19"/>
  <c r="G44" i="19"/>
  <c r="C44" i="19"/>
  <c r="F13" i="9"/>
  <c r="F16" i="9" s="1"/>
  <c r="M43" i="10"/>
  <c r="N43" i="10"/>
  <c r="O43" i="10"/>
  <c r="J122" i="20"/>
  <c r="J113" i="20"/>
  <c r="J112" i="20" s="1"/>
  <c r="J111" i="20" s="1"/>
  <c r="O122" i="20"/>
  <c r="L123" i="20"/>
  <c r="M121" i="20"/>
  <c r="M123" i="20" s="1"/>
  <c r="B7" i="20"/>
  <c r="A6" i="20"/>
  <c r="E36" i="8"/>
  <c r="E34" i="8"/>
  <c r="E24" i="8"/>
  <c r="E21" i="8"/>
  <c r="G31" i="8"/>
  <c r="G18" i="8"/>
  <c r="G16" i="8"/>
  <c r="G22" i="8"/>
  <c r="E16" i="8"/>
  <c r="G26" i="8"/>
  <c r="E19" i="8"/>
  <c r="G33" i="8"/>
  <c r="E35" i="8"/>
  <c r="E32" i="8"/>
  <c r="E29" i="8"/>
  <c r="E25" i="8"/>
  <c r="E22" i="8"/>
  <c r="E18" i="8"/>
  <c r="G29" i="8"/>
  <c r="E14" i="8"/>
  <c r="E65" i="8" s="1"/>
  <c r="G21" i="8"/>
  <c r="E17" i="8"/>
  <c r="G14" i="8"/>
  <c r="G35" i="8"/>
  <c r="G65" i="8" s="1"/>
  <c r="G13" i="8"/>
  <c r="G30" i="8"/>
  <c r="F13" i="8"/>
  <c r="H13" i="8" s="1"/>
  <c r="C14" i="8" s="1"/>
  <c r="H14" i="8" s="1"/>
  <c r="C15" i="8" s="1"/>
  <c r="H15" i="8" s="1"/>
  <c r="C16" i="8" s="1"/>
  <c r="H16" i="8" s="1"/>
  <c r="C17" i="8" s="1"/>
  <c r="H17" i="8" s="1"/>
  <c r="C18" i="8" s="1"/>
  <c r="H18" i="8" s="1"/>
  <c r="C19" i="8" s="1"/>
  <c r="H19" i="8" s="1"/>
  <c r="C20" i="8" s="1"/>
  <c r="H20" i="8" s="1"/>
  <c r="C21" i="8" s="1"/>
  <c r="H21" i="8" s="1"/>
  <c r="C22" i="8" s="1"/>
  <c r="H22" i="8" s="1"/>
  <c r="C23" i="8" s="1"/>
  <c r="H23" i="8" s="1"/>
  <c r="C24" i="8" s="1"/>
  <c r="H24" i="8" s="1"/>
  <c r="C25" i="8" s="1"/>
  <c r="H25" i="8" s="1"/>
  <c r="C26" i="8" s="1"/>
  <c r="H26" i="8" s="1"/>
  <c r="C27" i="8" s="1"/>
  <c r="H27" i="8" s="1"/>
  <c r="C28" i="8" s="1"/>
  <c r="H28" i="8" s="1"/>
  <c r="C29" i="8" s="1"/>
  <c r="H29" i="8" s="1"/>
  <c r="C30" i="8" s="1"/>
  <c r="H30" i="8" s="1"/>
  <c r="C31" i="8" s="1"/>
  <c r="H31" i="8" s="1"/>
  <c r="C32" i="8" s="1"/>
  <c r="H32" i="8" s="1"/>
  <c r="C33" i="8" s="1"/>
  <c r="H33" i="8" s="1"/>
  <c r="C34" i="8" s="1"/>
  <c r="H34" i="8" s="1"/>
  <c r="C35" i="8" s="1"/>
  <c r="H35" i="8" s="1"/>
  <c r="C36" i="8" s="1"/>
  <c r="H36" i="8" s="1"/>
  <c r="C37" i="8" s="1"/>
  <c r="H37" i="8" s="1"/>
  <c r="C38" i="8" s="1"/>
  <c r="H38" i="8" s="1"/>
  <c r="C39" i="8" s="1"/>
  <c r="H39" i="8" s="1"/>
  <c r="C40" i="8" s="1"/>
  <c r="H40" i="8" s="1"/>
  <c r="C41" i="8" s="1"/>
  <c r="H41" i="8" s="1"/>
  <c r="C42" i="8" s="1"/>
  <c r="H42" i="8" s="1"/>
  <c r="C43" i="8" s="1"/>
  <c r="H43" i="8" s="1"/>
  <c r="C44" i="8" s="1"/>
  <c r="H44" i="8" s="1"/>
  <c r="C45" i="8" s="1"/>
  <c r="H45" i="8" s="1"/>
  <c r="C46" i="8" s="1"/>
  <c r="H46" i="8" s="1"/>
  <c r="C47" i="8" s="1"/>
  <c r="H47" i="8" s="1"/>
  <c r="C48" i="8" s="1"/>
  <c r="H48" i="8" s="1"/>
  <c r="G46" i="19"/>
  <c r="L18" i="9"/>
  <c r="M18" i="9" s="1"/>
  <c r="E26" i="9"/>
  <c r="L20" i="9" s="1"/>
  <c r="M20" i="9" s="1"/>
  <c r="M6" i="9"/>
  <c r="L22" i="9"/>
  <c r="M22" i="9" s="1"/>
  <c r="K6" i="2"/>
  <c r="L6" i="2" s="1"/>
  <c r="K15" i="2"/>
  <c r="L15" i="2" s="1"/>
  <c r="K25" i="2"/>
  <c r="L25" i="2" s="1"/>
  <c r="K16" i="2"/>
  <c r="L16" i="2" s="1"/>
  <c r="K5" i="2"/>
  <c r="L5" i="2" s="1"/>
  <c r="K23" i="2"/>
  <c r="L23" i="2" s="1"/>
  <c r="K44" i="2"/>
  <c r="L44" i="2" s="1"/>
  <c r="K18" i="2"/>
  <c r="L18" i="2" s="1"/>
  <c r="G29" i="17" s="1"/>
  <c r="K43" i="2"/>
  <c r="L43" i="2" s="1"/>
  <c r="K17" i="2"/>
  <c r="L17" i="2" s="1"/>
  <c r="K4" i="2"/>
  <c r="L4" i="2" s="1"/>
  <c r="K8" i="2"/>
  <c r="L8" i="2" s="1"/>
  <c r="K38" i="2"/>
  <c r="L38" i="2" s="1"/>
  <c r="K10" i="2"/>
  <c r="L10" i="2" s="1"/>
  <c r="K34" i="2"/>
  <c r="L34" i="2" s="1"/>
  <c r="K33" i="2"/>
  <c r="L33" i="2" s="1"/>
  <c r="K24" i="2"/>
  <c r="H3" i="17"/>
  <c r="J49" i="19"/>
  <c r="G45" i="19"/>
  <c r="G48" i="19"/>
  <c r="G27" i="19"/>
  <c r="M84" i="1"/>
  <c r="H5" i="15" l="1"/>
  <c r="M9" i="15"/>
  <c r="M14" i="15"/>
  <c r="M6" i="15"/>
  <c r="M13" i="15"/>
  <c r="M18" i="15"/>
  <c r="M15" i="15"/>
  <c r="M12" i="15"/>
  <c r="M17" i="15"/>
  <c r="M11" i="15"/>
  <c r="M16" i="15"/>
  <c r="M5" i="15"/>
  <c r="O14" i="17"/>
  <c r="P14" i="17" s="1" a="1"/>
  <c r="P14" i="17" s="1"/>
  <c r="O18" i="17"/>
  <c r="P18" i="17" s="1" a="1"/>
  <c r="P18" i="17" s="1"/>
  <c r="O15" i="17"/>
  <c r="P15" i="17" s="1" a="1"/>
  <c r="P15" i="17" s="1"/>
  <c r="O19" i="17"/>
  <c r="P19" i="17" s="1" a="1"/>
  <c r="P19" i="17" s="1"/>
  <c r="O16" i="17"/>
  <c r="P16" i="17" s="1" a="1"/>
  <c r="P16" i="17" s="1"/>
  <c r="O20" i="17"/>
  <c r="P20" i="17" s="1" a="1"/>
  <c r="P20" i="17" s="1"/>
  <c r="O17" i="17"/>
  <c r="P17" i="17" s="1" a="1"/>
  <c r="P17" i="17" s="1"/>
  <c r="O21" i="17"/>
  <c r="P21" i="17" s="1" a="1"/>
  <c r="P21" i="17" s="1"/>
  <c r="O5" i="17"/>
  <c r="P5" i="17" s="1" a="1"/>
  <c r="P5" i="17" s="1"/>
  <c r="O9" i="17"/>
  <c r="P9" i="17" s="1" a="1"/>
  <c r="P9" i="17" s="1"/>
  <c r="O13" i="17"/>
  <c r="P13" i="17" s="1" a="1"/>
  <c r="P13" i="17" s="1"/>
  <c r="O8" i="17"/>
  <c r="P8" i="17" s="1" a="1"/>
  <c r="P8" i="17" s="1"/>
  <c r="O6" i="17"/>
  <c r="P6" i="17" s="1" a="1"/>
  <c r="P6" i="17" s="1"/>
  <c r="O10" i="17"/>
  <c r="P10" i="17" s="1" a="1"/>
  <c r="P10" i="17" s="1"/>
  <c r="O7" i="17"/>
  <c r="P7" i="17" s="1" a="1"/>
  <c r="P7" i="17" s="1"/>
  <c r="O11" i="17"/>
  <c r="P11" i="17" s="1" a="1"/>
  <c r="P11" i="17" s="1"/>
  <c r="O12" i="17"/>
  <c r="P12" i="17" s="1" a="1"/>
  <c r="P12" i="17" s="1"/>
  <c r="H20" i="17"/>
  <c r="L20" i="17" a="1"/>
  <c r="L20" i="17" s="1"/>
  <c r="I20" i="17"/>
  <c r="J20" i="17" s="1"/>
  <c r="K20" i="17"/>
  <c r="I21" i="17"/>
  <c r="J21" i="17" s="1"/>
  <c r="K21" i="17"/>
  <c r="H21" i="17"/>
  <c r="L21" i="17" a="1"/>
  <c r="L21" i="17" s="1"/>
  <c r="I16" i="17"/>
  <c r="J16" i="17" s="1"/>
  <c r="H16" i="17"/>
  <c r="L16" i="17" a="1"/>
  <c r="L16" i="17" s="1"/>
  <c r="I17" i="17"/>
  <c r="J17" i="17" s="1"/>
  <c r="K19" i="17"/>
  <c r="K18" i="17"/>
  <c r="H19" i="17"/>
  <c r="L19" i="17" a="1"/>
  <c r="L19" i="17" s="1"/>
  <c r="I18" i="17"/>
  <c r="J18" i="17" s="1"/>
  <c r="K17" i="17"/>
  <c r="H18" i="17"/>
  <c r="L18" i="17" a="1"/>
  <c r="L18" i="17" s="1"/>
  <c r="I19" i="17"/>
  <c r="J19" i="17" s="1"/>
  <c r="K16" i="17"/>
  <c r="H17" i="17"/>
  <c r="L17" i="17" a="1"/>
  <c r="L17" i="17" s="1"/>
  <c r="M21" i="9"/>
  <c r="L5" i="17" a="1"/>
  <c r="L5" i="17" s="1"/>
  <c r="L7" i="17" a="1"/>
  <c r="L7" i="17" s="1"/>
  <c r="L9" i="17" a="1"/>
  <c r="L9" i="17" s="1"/>
  <c r="L11" i="17" a="1"/>
  <c r="L11" i="17" s="1"/>
  <c r="L15" i="17" a="1"/>
  <c r="L15" i="17" s="1"/>
  <c r="L10" i="17" a="1"/>
  <c r="L10" i="17" s="1"/>
  <c r="L14" i="17" a="1"/>
  <c r="L14" i="17" s="1"/>
  <c r="L6" i="17" a="1"/>
  <c r="L6" i="17" s="1"/>
  <c r="L8" i="17" a="1"/>
  <c r="L8" i="17" s="1"/>
  <c r="L12" i="17" a="1"/>
  <c r="L12" i="17" s="1"/>
  <c r="L13" i="17" a="1"/>
  <c r="L13" i="17" s="1"/>
  <c r="K5" i="17"/>
  <c r="K9" i="17"/>
  <c r="K13" i="17"/>
  <c r="K8" i="17"/>
  <c r="K12" i="17"/>
  <c r="K14" i="17"/>
  <c r="K7" i="17"/>
  <c r="K11" i="17"/>
  <c r="K15" i="17"/>
  <c r="K6" i="17"/>
  <c r="K10" i="17"/>
  <c r="H13" i="17"/>
  <c r="B8" i="20"/>
  <c r="A7" i="20"/>
  <c r="J13" i="8"/>
  <c r="J14" i="8" s="1"/>
  <c r="J15" i="8" s="1"/>
  <c r="J16" i="8" s="1"/>
  <c r="N13" i="8"/>
  <c r="F65" i="8"/>
  <c r="H15" i="17"/>
  <c r="H12" i="17"/>
  <c r="I14" i="17"/>
  <c r="I13" i="17"/>
  <c r="I15" i="17"/>
  <c r="H14" i="17"/>
  <c r="H11" i="17"/>
  <c r="H5" i="17"/>
  <c r="H9" i="17"/>
  <c r="H7" i="17"/>
  <c r="O4" i="17"/>
  <c r="P4" i="17" s="1" a="1"/>
  <c r="P4" i="17" s="1"/>
  <c r="I7" i="17"/>
  <c r="I12" i="17"/>
  <c r="I5" i="17"/>
  <c r="I10" i="17"/>
  <c r="T10" i="17" s="1"/>
  <c r="I6" i="17"/>
  <c r="I8" i="17"/>
  <c r="I11" i="17"/>
  <c r="T11" i="17" s="1"/>
  <c r="I9" i="17"/>
  <c r="T9" i="17" s="1"/>
  <c r="H10" i="17"/>
  <c r="H8" i="17"/>
  <c r="H6" i="17"/>
  <c r="L15" i="9"/>
  <c r="L21" i="9"/>
  <c r="L23" i="9" s="1"/>
  <c r="M23" i="9"/>
  <c r="L24" i="2"/>
  <c r="D28" i="17" s="1"/>
  <c r="R15" i="17" l="1"/>
  <c r="R12" i="17"/>
  <c r="R11" i="17"/>
  <c r="R13" i="17"/>
  <c r="R14" i="17"/>
  <c r="N20" i="17" a="1"/>
  <c r="N20" i="17" s="1"/>
  <c r="T16" i="17"/>
  <c r="N11" i="17" a="1"/>
  <c r="N11" i="17" s="1"/>
  <c r="T12" i="17"/>
  <c r="N12" i="17" a="1"/>
  <c r="N12" i="17" s="1"/>
  <c r="N15" i="17" a="1"/>
  <c r="N15" i="17" s="1"/>
  <c r="N19" i="17" a="1"/>
  <c r="N19" i="17" s="1"/>
  <c r="T13" i="17"/>
  <c r="T14" i="17"/>
  <c r="T8" i="17"/>
  <c r="T7" i="17"/>
  <c r="T15" i="17"/>
  <c r="T5" i="17"/>
  <c r="T6" i="17"/>
  <c r="N8" i="17" a="1"/>
  <c r="N8" i="17" s="1"/>
  <c r="N13" i="17" a="1"/>
  <c r="N13" i="17" s="1"/>
  <c r="N9" i="17" a="1"/>
  <c r="N9" i="17" s="1"/>
  <c r="N14" i="17" a="1"/>
  <c r="N14" i="17" s="1"/>
  <c r="N6" i="17" a="1"/>
  <c r="N6" i="17" s="1"/>
  <c r="N7" i="17" a="1"/>
  <c r="N7" i="17" s="1"/>
  <c r="N10" i="17" a="1"/>
  <c r="N10" i="17" s="1"/>
  <c r="N5" i="17" a="1"/>
  <c r="N5" i="17" s="1"/>
  <c r="J5" i="17"/>
  <c r="J11" i="17"/>
  <c r="J12" i="17"/>
  <c r="J8" i="17"/>
  <c r="J6" i="17"/>
  <c r="J7" i="17"/>
  <c r="J13" i="17"/>
  <c r="J14" i="17"/>
  <c r="J9" i="17"/>
  <c r="J10" i="17"/>
  <c r="J15" i="17"/>
  <c r="L4" i="17" a="1"/>
  <c r="L4" i="17" s="1"/>
  <c r="K4" i="17"/>
  <c r="H4" i="17"/>
  <c r="B9" i="20"/>
  <c r="A8" i="20"/>
  <c r="N16" i="8"/>
  <c r="P13" i="8"/>
  <c r="O13" i="8"/>
  <c r="I4" i="17"/>
  <c r="A4" i="17"/>
  <c r="J120" i="20"/>
  <c r="Q15" i="17" l="1"/>
  <c r="Q13" i="17"/>
  <c r="Q14" i="17"/>
  <c r="Q12" i="17"/>
  <c r="Q11" i="17"/>
  <c r="K25" i="17"/>
  <c r="L25" i="17" s="1"/>
  <c r="Q17" i="17"/>
  <c r="N16" i="17" a="1"/>
  <c r="N16" i="17" s="1"/>
  <c r="T20" i="17"/>
  <c r="T21" i="17"/>
  <c r="Q21" i="17"/>
  <c r="N21" i="17" a="1"/>
  <c r="N21" i="17" s="1"/>
  <c r="N17" i="17" a="1"/>
  <c r="N17" i="17" s="1"/>
  <c r="T17" i="17"/>
  <c r="T19" i="17"/>
  <c r="T18" i="17"/>
  <c r="Q18" i="17"/>
  <c r="N18" i="17" a="1"/>
  <c r="N18" i="17" s="1"/>
  <c r="Q7" i="17"/>
  <c r="Q10" i="17"/>
  <c r="Q9" i="17"/>
  <c r="Q6" i="17"/>
  <c r="Q5" i="17"/>
  <c r="Q8" i="17"/>
  <c r="J4" i="17"/>
  <c r="A5" i="17"/>
  <c r="B10" i="20"/>
  <c r="A9" i="20"/>
  <c r="O16" i="8"/>
  <c r="P16" i="8"/>
  <c r="J121" i="20"/>
  <c r="R6" i="17" l="1"/>
  <c r="R9" i="17"/>
  <c r="R18" i="17"/>
  <c r="R17" i="17"/>
  <c r="R8" i="17"/>
  <c r="R10" i="17"/>
  <c r="R21" i="17"/>
  <c r="R5" i="17"/>
  <c r="R7" i="17"/>
  <c r="Q16" i="17"/>
  <c r="Q19" i="17"/>
  <c r="Q20" i="17"/>
  <c r="Q4" i="17"/>
  <c r="T4" i="17"/>
  <c r="N4" i="17" a="1"/>
  <c r="N4" i="17" s="1"/>
  <c r="A6" i="17"/>
  <c r="B11" i="20"/>
  <c r="A10" i="20"/>
  <c r="M105" i="20"/>
  <c r="L107" i="20"/>
  <c r="N105" i="20"/>
  <c r="J118" i="20"/>
  <c r="R19" i="17" l="1"/>
  <c r="R16" i="17"/>
  <c r="R20" i="17"/>
  <c r="R4" i="17"/>
  <c r="A7" i="17"/>
  <c r="P105" i="20"/>
  <c r="N107" i="20"/>
  <c r="M107" i="20"/>
  <c r="M115" i="20" s="1"/>
  <c r="L115" i="20" s="1"/>
  <c r="N115" i="20" s="1"/>
  <c r="B12" i="20"/>
  <c r="A11" i="20"/>
  <c r="A8" i="17" l="1"/>
  <c r="P106" i="20"/>
  <c r="P107" i="20" s="1"/>
  <c r="P108" i="20" s="1"/>
  <c r="B13" i="20"/>
  <c r="A12" i="20"/>
  <c r="A9" i="17" l="1"/>
  <c r="B14" i="20"/>
  <c r="A13" i="20"/>
  <c r="A10" i="17" l="1"/>
  <c r="B15" i="20"/>
  <c r="A14" i="20"/>
  <c r="A11" i="17" l="1"/>
  <c r="B16" i="20"/>
  <c r="A15" i="20"/>
  <c r="A12" i="17" l="1"/>
  <c r="B17" i="20"/>
  <c r="A16" i="20"/>
  <c r="A13" i="17" l="1"/>
  <c r="B18" i="20"/>
  <c r="A17" i="20"/>
  <c r="A14" i="17" l="1"/>
  <c r="B19" i="20"/>
  <c r="A18" i="20"/>
  <c r="A15" i="17" l="1"/>
  <c r="B20" i="20"/>
  <c r="A19" i="20"/>
  <c r="A16" i="17" l="1"/>
  <c r="B21" i="20"/>
  <c r="A20" i="20"/>
  <c r="A17" i="17" l="1"/>
  <c r="A18" i="17" s="1"/>
  <c r="A19" i="17" s="1"/>
  <c r="B22" i="20"/>
  <c r="A21" i="20"/>
  <c r="A20" i="17" l="1"/>
  <c r="A21" i="17" s="1"/>
  <c r="A22" i="17" s="1"/>
  <c r="A23" i="17" s="1"/>
  <c r="B23" i="20"/>
  <c r="A22" i="20"/>
  <c r="B25" i="17" l="1"/>
  <c r="A24" i="17"/>
  <c r="B24" i="20"/>
  <c r="A23" i="20"/>
  <c r="B25" i="20" l="1"/>
  <c r="A24" i="20"/>
  <c r="B26" i="20" l="1"/>
  <c r="A25" i="20"/>
  <c r="B27" i="20" l="1"/>
  <c r="A26" i="20"/>
  <c r="B28" i="20" l="1"/>
  <c r="A27" i="20"/>
  <c r="B29" i="20" l="1"/>
  <c r="A28" i="20"/>
  <c r="B30" i="20" l="1"/>
  <c r="A29" i="20"/>
  <c r="B31" i="20" l="1"/>
  <c r="A30" i="20"/>
  <c r="B32" i="20" l="1"/>
  <c r="A31" i="20"/>
  <c r="B33" i="20" l="1"/>
  <c r="A32" i="20"/>
  <c r="B34" i="20" l="1"/>
  <c r="A33" i="20"/>
  <c r="B35" i="20" l="1"/>
  <c r="A34" i="20"/>
  <c r="B36" i="20" l="1"/>
  <c r="A35" i="20"/>
  <c r="B37" i="20" l="1"/>
  <c r="A36" i="20"/>
  <c r="B38" i="20" l="1"/>
  <c r="A37" i="20"/>
  <c r="B39" i="20" l="1"/>
  <c r="A38" i="20"/>
  <c r="B40" i="20" l="1"/>
  <c r="A39" i="20"/>
  <c r="B41" i="20" l="1"/>
  <c r="A40" i="20"/>
  <c r="B42" i="20" l="1"/>
  <c r="A41" i="20"/>
  <c r="B43" i="20" l="1"/>
  <c r="A42" i="20"/>
  <c r="B44" i="20" l="1"/>
  <c r="A43" i="20"/>
  <c r="B45" i="20" l="1"/>
  <c r="A44" i="20"/>
  <c r="B46" i="20" l="1"/>
  <c r="A45" i="20"/>
  <c r="B47" i="20" l="1"/>
  <c r="A46" i="20"/>
  <c r="B48" i="20" l="1"/>
  <c r="A47" i="20"/>
  <c r="B49" i="20" l="1"/>
  <c r="A48" i="20"/>
  <c r="B50" i="20" l="1"/>
  <c r="A49" i="20"/>
  <c r="B51" i="20" l="1"/>
  <c r="A50" i="20"/>
  <c r="B52" i="20" l="1"/>
  <c r="A51" i="20"/>
  <c r="B53" i="20" l="1"/>
  <c r="A52" i="20"/>
  <c r="B54" i="20" l="1"/>
  <c r="A53" i="20"/>
  <c r="B55" i="20" l="1"/>
  <c r="A54" i="20"/>
  <c r="B56" i="20" l="1"/>
  <c r="A55" i="20"/>
  <c r="B57" i="20" l="1"/>
  <c r="A56" i="20"/>
  <c r="B58" i="20" l="1"/>
  <c r="A57" i="20"/>
  <c r="B59" i="20" l="1"/>
  <c r="A58" i="20"/>
  <c r="B60" i="20" l="1"/>
  <c r="A59" i="20"/>
  <c r="B61" i="20" l="1"/>
  <c r="A60" i="20"/>
  <c r="B62" i="20" l="1"/>
  <c r="A61" i="20"/>
  <c r="B63" i="20" l="1"/>
  <c r="A62" i="20"/>
  <c r="B64" i="20" l="1"/>
  <c r="A63" i="20"/>
  <c r="B65" i="20" l="1"/>
  <c r="A64" i="20"/>
  <c r="B66" i="20" l="1"/>
  <c r="A65" i="20"/>
  <c r="B67" i="20" l="1"/>
  <c r="A66" i="20"/>
  <c r="B68" i="20" l="1"/>
  <c r="A67" i="20"/>
  <c r="B69" i="20" l="1"/>
  <c r="A68" i="20"/>
  <c r="B70" i="20" l="1"/>
  <c r="A69" i="20"/>
  <c r="B71" i="20" l="1"/>
  <c r="A70" i="20"/>
  <c r="B72" i="20" l="1"/>
  <c r="A71" i="20"/>
  <c r="B73" i="20" l="1"/>
  <c r="A72" i="20"/>
  <c r="B74" i="20" l="1"/>
  <c r="A73" i="20"/>
  <c r="B75" i="20" l="1"/>
  <c r="A74" i="20"/>
  <c r="B76" i="20" l="1"/>
  <c r="A75" i="20"/>
  <c r="B77" i="20" l="1"/>
  <c r="A76" i="20"/>
  <c r="B78" i="20" l="1"/>
  <c r="A77" i="20"/>
  <c r="B79" i="20" l="1"/>
  <c r="A78" i="20"/>
  <c r="B80" i="20" l="1"/>
  <c r="A79" i="20"/>
  <c r="B81" i="20" l="1"/>
  <c r="A80" i="20"/>
  <c r="B82" i="20" l="1"/>
  <c r="A81" i="20"/>
  <c r="B83" i="20" l="1"/>
  <c r="A82" i="20"/>
  <c r="B84" i="20" l="1"/>
  <c r="A83" i="20"/>
  <c r="B85" i="20" l="1"/>
  <c r="A84" i="20"/>
  <c r="B86" i="20" l="1"/>
  <c r="A85" i="20"/>
  <c r="B87" i="20" l="1"/>
  <c r="A86" i="20"/>
  <c r="B88" i="20" l="1"/>
  <c r="A87" i="20"/>
  <c r="B89" i="20" l="1"/>
  <c r="A88" i="20"/>
  <c r="B90" i="20" l="1"/>
  <c r="A89" i="20"/>
  <c r="B91" i="20" l="1"/>
  <c r="A90" i="20"/>
  <c r="B92" i="20" l="1"/>
  <c r="A91" i="20"/>
  <c r="B93" i="20" l="1"/>
  <c r="A92" i="20"/>
  <c r="B94" i="20" l="1"/>
  <c r="A93" i="20"/>
  <c r="B95" i="20" l="1"/>
  <c r="A94" i="20"/>
  <c r="B96" i="20" l="1"/>
  <c r="A95" i="20"/>
  <c r="B97" i="20" l="1"/>
  <c r="A96" i="20"/>
  <c r="B98" i="20" l="1"/>
  <c r="A97" i="20"/>
  <c r="B99" i="20" l="1"/>
  <c r="A98" i="20"/>
  <c r="A99" i="20" l="1"/>
  <c r="B100" i="20"/>
  <c r="B101" i="20" l="1"/>
  <c r="B102" i="20" s="1"/>
  <c r="A100" i="20"/>
  <c r="B103" i="20" l="1"/>
  <c r="A102" i="20"/>
  <c r="A101" i="20"/>
  <c r="B104" i="20" l="1"/>
  <c r="A103" i="20"/>
  <c r="B105" i="20" l="1"/>
  <c r="A104" i="20"/>
  <c r="B106" i="20" l="1"/>
  <c r="A105" i="20"/>
  <c r="B107" i="20" l="1"/>
  <c r="A106" i="20"/>
  <c r="B108" i="20" l="1"/>
  <c r="A107" i="20"/>
  <c r="B109" i="20" l="1"/>
  <c r="A108" i="20"/>
  <c r="B110" i="20" l="1"/>
  <c r="B111" i="20" s="1"/>
  <c r="A109" i="20"/>
  <c r="A111" i="20" l="1"/>
  <c r="B112" i="20"/>
  <c r="A110" i="20"/>
  <c r="B113" i="20" l="1"/>
  <c r="A112" i="20"/>
  <c r="A113" i="20" l="1"/>
  <c r="B114" i="20"/>
  <c r="B115" i="20" l="1"/>
  <c r="A114" i="20"/>
  <c r="A115" i="20" l="1"/>
  <c r="B116" i="20"/>
  <c r="B117" i="20" l="1"/>
  <c r="A116" i="20"/>
  <c r="A117" i="20" l="1"/>
  <c r="B118" i="20"/>
  <c r="B119" i="20" l="1"/>
  <c r="A118" i="20"/>
  <c r="B120" i="20" l="1"/>
  <c r="A119" i="20"/>
  <c r="B121" i="20" l="1"/>
  <c r="A120" i="20"/>
  <c r="B122" i="20" l="1"/>
  <c r="A121" i="20"/>
  <c r="B123" i="20" l="1"/>
  <c r="A122" i="20"/>
  <c r="B124" i="20" l="1"/>
  <c r="A123" i="20"/>
  <c r="B125" i="20" l="1"/>
  <c r="A124" i="20"/>
  <c r="B126" i="20" l="1"/>
  <c r="A125" i="20"/>
  <c r="A126" i="20" l="1"/>
  <c r="B127" i="20"/>
  <c r="B128" i="20" l="1"/>
  <c r="A127" i="20"/>
  <c r="A128" i="20" l="1"/>
  <c r="B129" i="20"/>
  <c r="A129" i="20" l="1"/>
  <c r="B130" i="20"/>
  <c r="A130" i="20" l="1"/>
  <c r="B131" i="20"/>
  <c r="A131" i="20" l="1"/>
  <c r="B132" i="20"/>
  <c r="A132" i="20" l="1"/>
  <c r="B133" i="20"/>
  <c r="A133" i="20" l="1"/>
  <c r="B134" i="20"/>
  <c r="A134" i="20" l="1"/>
  <c r="B135" i="20"/>
  <c r="A135" i="20" l="1"/>
  <c r="B136" i="20"/>
  <c r="A136" i="20" l="1"/>
  <c r="B137" i="20"/>
  <c r="B138" i="20" l="1"/>
  <c r="A137" i="20"/>
  <c r="B139" i="20" l="1"/>
  <c r="A138" i="20"/>
  <c r="B140" i="20" l="1"/>
  <c r="A139" i="20"/>
  <c r="B141" i="20" l="1"/>
  <c r="A140" i="20"/>
  <c r="B142" i="20" l="1"/>
  <c r="A141" i="20"/>
  <c r="B143" i="20" l="1"/>
  <c r="A142" i="20"/>
  <c r="A143" i="20" l="1"/>
  <c r="B144" i="20"/>
  <c r="B145" i="20" l="1"/>
  <c r="A144" i="20"/>
  <c r="B146" i="20" l="1"/>
  <c r="A145" i="20"/>
  <c r="B147" i="20" l="1"/>
  <c r="A146" i="20"/>
  <c r="B148" i="20" l="1"/>
  <c r="A147" i="20"/>
  <c r="B149" i="20" l="1"/>
  <c r="A148" i="20"/>
  <c r="B150" i="20" l="1"/>
  <c r="A149" i="20"/>
  <c r="A150" i="20" l="1"/>
  <c r="B151" i="20"/>
  <c r="A151" i="20" l="1"/>
  <c r="B152" i="20"/>
  <c r="A152" i="20" l="1"/>
  <c r="B153" i="20"/>
  <c r="B154" i="20" l="1"/>
  <c r="A153" i="20"/>
  <c r="B155" i="20" l="1"/>
  <c r="A154" i="20"/>
  <c r="B156" i="20" l="1"/>
  <c r="A155" i="20"/>
  <c r="B157" i="20" l="1"/>
  <c r="A156" i="20"/>
  <c r="B158" i="20" l="1"/>
  <c r="A157" i="20"/>
  <c r="B159" i="20" l="1"/>
  <c r="A158" i="20"/>
  <c r="B160" i="20" l="1"/>
  <c r="A159" i="20"/>
  <c r="B161" i="20" l="1"/>
  <c r="A161" i="20" s="1"/>
  <c r="M139" i="20" s="1"/>
  <c r="A160" i="20"/>
  <c r="L140" i="20" l="1"/>
  <c r="N140" i="20" s="1"/>
  <c r="M137" i="20"/>
  <c r="L138" i="20"/>
  <c r="N138" i="20" s="1"/>
  <c r="M136" i="20"/>
  <c r="L139" i="20"/>
  <c r="N139" i="20" s="1"/>
  <c r="O139" i="20" s="1"/>
  <c r="M138" i="20"/>
  <c r="M140" i="20"/>
  <c r="L137" i="20"/>
  <c r="N137" i="20" s="1"/>
  <c r="L136" i="20"/>
  <c r="O137" i="20" l="1"/>
  <c r="O138" i="20"/>
  <c r="M141" i="20"/>
  <c r="L141" i="20"/>
  <c r="N136" i="20"/>
  <c r="O136" i="20" s="1"/>
  <c r="O140" i="20"/>
  <c r="O141" i="20" l="1"/>
  <c r="N141" i="20" s="1"/>
  <c r="K133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<sst xmlns="http://schemas.openxmlformats.org/spreadsheetml/2006/main" count="4437" uniqueCount="757">
  <si>
    <t>Numero</t>
  </si>
  <si>
    <t>Nombre</t>
  </si>
  <si>
    <t>Morena Clara</t>
  </si>
  <si>
    <t>Fundadora</t>
  </si>
  <si>
    <t>La Negra</t>
  </si>
  <si>
    <t>Cachito</t>
  </si>
  <si>
    <t>Carapacho</t>
  </si>
  <si>
    <t>Preñada 220 Dias</t>
  </si>
  <si>
    <t>Preñada 170 Dias</t>
  </si>
  <si>
    <t>Preñada 150 Dias</t>
  </si>
  <si>
    <t>C:L:O:D</t>
  </si>
  <si>
    <t>Posible Parto</t>
  </si>
  <si>
    <t>Fecha</t>
  </si>
  <si>
    <t>Yodacalcio +Modificador Organico</t>
  </si>
  <si>
    <t>Aurelino Parra</t>
  </si>
  <si>
    <t>Evento</t>
  </si>
  <si>
    <t>Resultado</t>
  </si>
  <si>
    <t>Palpacion</t>
  </si>
  <si>
    <t>Servicio</t>
  </si>
  <si>
    <t>Servida por el Padrote</t>
  </si>
  <si>
    <t>Ciclando? Proxima Palpacion</t>
  </si>
  <si>
    <t>Veterinario</t>
  </si>
  <si>
    <t>Parto</t>
  </si>
  <si>
    <t>Hembra</t>
  </si>
  <si>
    <t>Macho</t>
  </si>
  <si>
    <t>Toro</t>
  </si>
  <si>
    <t>Sexo</t>
  </si>
  <si>
    <t>Padre</t>
  </si>
  <si>
    <t>BM001</t>
  </si>
  <si>
    <t>Padrote</t>
  </si>
  <si>
    <t>parto</t>
  </si>
  <si>
    <t>Vendido 680 Kg</t>
  </si>
  <si>
    <t>Muerto</t>
  </si>
  <si>
    <t>Hijo de Carapacho</t>
  </si>
  <si>
    <t>BM002</t>
  </si>
  <si>
    <t>BM003</t>
  </si>
  <si>
    <t>Muerto 28/09/19</t>
  </si>
  <si>
    <t>BM004</t>
  </si>
  <si>
    <t>BM005</t>
  </si>
  <si>
    <t>BM006</t>
  </si>
  <si>
    <t>Dias Gestac</t>
  </si>
  <si>
    <t>Interv/Partos</t>
  </si>
  <si>
    <t>F1</t>
  </si>
  <si>
    <t>Sacrificada</t>
  </si>
  <si>
    <t>Sacrificada por pata quebrada</t>
  </si>
  <si>
    <t>Edad</t>
  </si>
  <si>
    <t>Años</t>
  </si>
  <si>
    <t>Meses</t>
  </si>
  <si>
    <t>Dias</t>
  </si>
  <si>
    <t>Comprada Mauta</t>
  </si>
  <si>
    <t>Comprada Mauta, Sacrificada 19/11/19</t>
  </si>
  <si>
    <t>Status</t>
  </si>
  <si>
    <t>Vendida</t>
  </si>
  <si>
    <t>Comentarios</t>
  </si>
  <si>
    <t>Comprada con 2 partos 15/04/2016</t>
  </si>
  <si>
    <t>murio</t>
  </si>
  <si>
    <t>BM007</t>
  </si>
  <si>
    <t>muerto</t>
  </si>
  <si>
    <t>Yodacalcio + Modificador Organico</t>
  </si>
  <si>
    <t>Utilid</t>
  </si>
  <si>
    <t>Arreglo</t>
  </si>
  <si>
    <t>dia</t>
  </si>
  <si>
    <t>sem</t>
  </si>
  <si>
    <t>Eduardo</t>
  </si>
  <si>
    <t>Johnny</t>
  </si>
  <si>
    <t>Carora</t>
  </si>
  <si>
    <t>Martin</t>
  </si>
  <si>
    <t>V.Ordeño</t>
  </si>
  <si>
    <t>V.horras</t>
  </si>
  <si>
    <t>Novillas</t>
  </si>
  <si>
    <t>Becerros</t>
  </si>
  <si>
    <t>Mautas/Mautes</t>
  </si>
  <si>
    <t>Total Ganado</t>
  </si>
  <si>
    <t>Cant</t>
  </si>
  <si>
    <t>Prom</t>
  </si>
  <si>
    <t>Total</t>
  </si>
  <si>
    <t>lts/kg</t>
  </si>
  <si>
    <t>Kg/Queso</t>
  </si>
  <si>
    <t>Madrinas</t>
  </si>
  <si>
    <t>Estantillos</t>
  </si>
  <si>
    <t>Alambre</t>
  </si>
  <si>
    <t>Grapas</t>
  </si>
  <si>
    <t>M.Obra</t>
  </si>
  <si>
    <t>c/u</t>
  </si>
  <si>
    <t>Ordeñador</t>
  </si>
  <si>
    <t>semana</t>
  </si>
  <si>
    <t>Dia</t>
  </si>
  <si>
    <t>Año</t>
  </si>
  <si>
    <t>Mes</t>
  </si>
  <si>
    <t>Nomina</t>
  </si>
  <si>
    <t>Alambres</t>
  </si>
  <si>
    <t>Otros Gastos</t>
  </si>
  <si>
    <t>Vacas a Comprar</t>
  </si>
  <si>
    <t>cant</t>
  </si>
  <si>
    <t>Precio</t>
  </si>
  <si>
    <t>Reimundo</t>
  </si>
  <si>
    <t>&lt;---Devolver</t>
  </si>
  <si>
    <t>Total $</t>
  </si>
  <si>
    <t>Inversion Inicial</t>
  </si>
  <si>
    <t xml:space="preserve">Utilidad </t>
  </si>
  <si>
    <t>Sueldo Jose</t>
  </si>
  <si>
    <t>Ordeño</t>
  </si>
  <si>
    <t>Mauta</t>
  </si>
  <si>
    <t>BLANQUITA</t>
  </si>
  <si>
    <t>VACIA</t>
  </si>
  <si>
    <t>JOSE FELIX</t>
  </si>
  <si>
    <t>Principio</t>
  </si>
  <si>
    <t>Mariana</t>
  </si>
  <si>
    <t>Caballona</t>
  </si>
  <si>
    <t>Gigante</t>
  </si>
  <si>
    <t>Comienzo</t>
  </si>
  <si>
    <t>020191</t>
  </si>
  <si>
    <t>020192</t>
  </si>
  <si>
    <t>020193</t>
  </si>
  <si>
    <t>020194</t>
  </si>
  <si>
    <t>020001</t>
  </si>
  <si>
    <t>CATARI</t>
  </si>
  <si>
    <t>Esperanza</t>
  </si>
  <si>
    <t>Morena</t>
  </si>
  <si>
    <t>Celo</t>
  </si>
  <si>
    <t>monto toro rojo</t>
  </si>
  <si>
    <t>Murio</t>
  </si>
  <si>
    <t>BM008</t>
  </si>
  <si>
    <t>BM009</t>
  </si>
  <si>
    <t>21001</t>
  </si>
  <si>
    <t>BM011</t>
  </si>
  <si>
    <t>Blanquito</t>
  </si>
  <si>
    <t>Carapachita</t>
  </si>
  <si>
    <t>Blanquita2</t>
  </si>
  <si>
    <t>Columna1</t>
  </si>
  <si>
    <t>Culo e Pato</t>
  </si>
  <si>
    <t>Peso</t>
  </si>
  <si>
    <t>romo</t>
  </si>
  <si>
    <t>Yolimar</t>
  </si>
  <si>
    <t>Maria Jose</t>
  </si>
  <si>
    <t>vendida</t>
  </si>
  <si>
    <t>Reimundo Vendida 468 05/01/05/22</t>
  </si>
  <si>
    <t>Reimundo Vendida 467 05/01/05/22</t>
  </si>
  <si>
    <t>Reimundo Vendida 420 05/01/05/22</t>
  </si>
  <si>
    <t>018001</t>
  </si>
  <si>
    <t>020002</t>
  </si>
  <si>
    <t>BM012</t>
  </si>
  <si>
    <t>Monto toro rayado</t>
  </si>
  <si>
    <t>PP</t>
  </si>
  <si>
    <t>PESADA</t>
  </si>
  <si>
    <t>VOL</t>
  </si>
  <si>
    <t>VCLOD</t>
  </si>
  <si>
    <t>H NEGRA</t>
  </si>
  <si>
    <t>H</t>
  </si>
  <si>
    <t>H BLANQUITA</t>
  </si>
  <si>
    <t>H YOLIMAR</t>
  </si>
  <si>
    <t>M</t>
  </si>
  <si>
    <t>H CARAPACHO</t>
  </si>
  <si>
    <t>H MORENA</t>
  </si>
  <si>
    <t>H MARIA JOSE</t>
  </si>
  <si>
    <t>Cantidad</t>
  </si>
  <si>
    <t>peso Inicial</t>
  </si>
  <si>
    <t>Costo kg</t>
  </si>
  <si>
    <t>Costo animal</t>
  </si>
  <si>
    <t>Total invert</t>
  </si>
  <si>
    <t>Mautes</t>
  </si>
  <si>
    <t>Proyecto Ceba</t>
  </si>
  <si>
    <t>Gramos dia</t>
  </si>
  <si>
    <t xml:space="preserve">Peso final </t>
  </si>
  <si>
    <t>kg Ganados</t>
  </si>
  <si>
    <t>Precio Venta</t>
  </si>
  <si>
    <t>Kg Inicial</t>
  </si>
  <si>
    <t>Obreros</t>
  </si>
  <si>
    <t>Silo</t>
  </si>
  <si>
    <t>Vacunas</t>
  </si>
  <si>
    <t>Desparas</t>
  </si>
  <si>
    <t>vitaminas</t>
  </si>
  <si>
    <t>Pasto</t>
  </si>
  <si>
    <t>Aftosa</t>
  </si>
  <si>
    <t>Rabia</t>
  </si>
  <si>
    <t>Carbon Bact</t>
  </si>
  <si>
    <t>Triple</t>
  </si>
  <si>
    <t>Emicina</t>
  </si>
  <si>
    <t>Desparasitante</t>
  </si>
  <si>
    <t>Modificador</t>
  </si>
  <si>
    <t>AD3E</t>
  </si>
  <si>
    <t>Frascos</t>
  </si>
  <si>
    <t>Dosis</t>
  </si>
  <si>
    <t>Veces</t>
  </si>
  <si>
    <t>1650</t>
  </si>
  <si>
    <t>5114</t>
  </si>
  <si>
    <t>61544</t>
  </si>
  <si>
    <t>70</t>
  </si>
  <si>
    <t>15200</t>
  </si>
  <si>
    <t>5 99</t>
  </si>
  <si>
    <t>15106</t>
  </si>
  <si>
    <t>15701</t>
  </si>
  <si>
    <t>15801</t>
  </si>
  <si>
    <t>6001</t>
  </si>
  <si>
    <t>184584</t>
  </si>
  <si>
    <t>183864</t>
  </si>
  <si>
    <t>184585</t>
  </si>
  <si>
    <t>MARIANA</t>
  </si>
  <si>
    <t>LUNA</t>
  </si>
  <si>
    <t>COMIENZO</t>
  </si>
  <si>
    <t>CONEJA</t>
  </si>
  <si>
    <t>GACHA</t>
  </si>
  <si>
    <t>TONCHA</t>
  </si>
  <si>
    <t>LA YEGUA</t>
  </si>
  <si>
    <t>OJOS NEGROS</t>
  </si>
  <si>
    <t>ORIANA</t>
  </si>
  <si>
    <t>ESTRELLA</t>
  </si>
  <si>
    <t>VENAITA</t>
  </si>
  <si>
    <t>TRANCO LARGO</t>
  </si>
  <si>
    <t>PARDA</t>
  </si>
  <si>
    <t>YEGUA</t>
  </si>
  <si>
    <t>22209</t>
  </si>
  <si>
    <t>P al Nacer</t>
  </si>
  <si>
    <t>Lote</t>
  </si>
  <si>
    <t>Vivos</t>
  </si>
  <si>
    <t>Ultimo Parto</t>
  </si>
  <si>
    <t>O</t>
  </si>
  <si>
    <t>ABORTO</t>
  </si>
  <si>
    <t>MACHO</t>
  </si>
  <si>
    <t>HIJO DE LA NEGRA</t>
  </si>
  <si>
    <t>MUERTE</t>
  </si>
  <si>
    <t>20 KG  Murio 27/3/23</t>
  </si>
  <si>
    <t xml:space="preserve">Nomina </t>
  </si>
  <si>
    <t>Semanal</t>
  </si>
  <si>
    <t>Yohnny</t>
  </si>
  <si>
    <t>Gamaliel</t>
  </si>
  <si>
    <t>Douglas</t>
  </si>
  <si>
    <t>Miguel Garay</t>
  </si>
  <si>
    <t>Marina</t>
  </si>
  <si>
    <t>Karina</t>
  </si>
  <si>
    <t>Gasolina Gasoil</t>
  </si>
  <si>
    <t>Alambre y Otros</t>
  </si>
  <si>
    <t>kg/dia/a</t>
  </si>
  <si>
    <t>Alimento</t>
  </si>
  <si>
    <t>Vacas</t>
  </si>
  <si>
    <t>Promedio</t>
  </si>
  <si>
    <t>Total Litros</t>
  </si>
  <si>
    <t>l/kg</t>
  </si>
  <si>
    <t>kg Queso</t>
  </si>
  <si>
    <t>Bs</t>
  </si>
  <si>
    <t>Hijo de Blanquita</t>
  </si>
  <si>
    <t>Pata Quebrada</t>
  </si>
  <si>
    <t>Jose</t>
  </si>
  <si>
    <t>Columna3</t>
  </si>
  <si>
    <t>Diametro</t>
  </si>
  <si>
    <t>perimetro</t>
  </si>
  <si>
    <t>volumen</t>
  </si>
  <si>
    <t>lts</t>
  </si>
  <si>
    <t>Densidad/Q</t>
  </si>
  <si>
    <t>Kg/molde</t>
  </si>
  <si>
    <t>Altura</t>
  </si>
  <si>
    <t>Cm</t>
  </si>
  <si>
    <t>kg/litro</t>
  </si>
  <si>
    <t xml:space="preserve">kg </t>
  </si>
  <si>
    <t>Molde Queso</t>
  </si>
  <si>
    <t>Tanque Cuajado</t>
  </si>
  <si>
    <t>Lado</t>
  </si>
  <si>
    <t>Volumen</t>
  </si>
  <si>
    <t>Lts</t>
  </si>
  <si>
    <t>Lts/cm</t>
  </si>
  <si>
    <t>Valor</t>
  </si>
  <si>
    <t>Interes Anual</t>
  </si>
  <si>
    <t>Cuota</t>
  </si>
  <si>
    <t>Tiempo años</t>
  </si>
  <si>
    <t>Mensual</t>
  </si>
  <si>
    <t>Semanas</t>
  </si>
  <si>
    <t>Periodos</t>
  </si>
  <si>
    <t>Capital</t>
  </si>
  <si>
    <t>tasa</t>
  </si>
  <si>
    <t>deuda final</t>
  </si>
  <si>
    <t>Periodo</t>
  </si>
  <si>
    <t>Tasa Anual</t>
  </si>
  <si>
    <t>Tasa Mensual</t>
  </si>
  <si>
    <t>Tasa Semanal</t>
  </si>
  <si>
    <t>Interes</t>
  </si>
  <si>
    <t>Amortiza</t>
  </si>
  <si>
    <t xml:space="preserve">Pago </t>
  </si>
  <si>
    <t>Encargado</t>
  </si>
  <si>
    <t>Ordeñaor</t>
  </si>
  <si>
    <t>Obrero</t>
  </si>
  <si>
    <t xml:space="preserve">Semana </t>
  </si>
  <si>
    <t>Funcion</t>
  </si>
  <si>
    <t>Personal</t>
  </si>
  <si>
    <t>Gastos</t>
  </si>
  <si>
    <t>Descripcion</t>
  </si>
  <si>
    <t>Combustible</t>
  </si>
  <si>
    <t>200 lts gasoil  100 lts gasolina semanal</t>
  </si>
  <si>
    <t>Luz</t>
  </si>
  <si>
    <t>Aceite</t>
  </si>
  <si>
    <t>Otros</t>
  </si>
  <si>
    <t>2 litros semana</t>
  </si>
  <si>
    <t xml:space="preserve">50$ semana </t>
  </si>
  <si>
    <t>50$ mes</t>
  </si>
  <si>
    <t>Insumos Ganado</t>
  </si>
  <si>
    <t>Medicinas</t>
  </si>
  <si>
    <t xml:space="preserve">Alimentos </t>
  </si>
  <si>
    <t>Baños</t>
  </si>
  <si>
    <t>1 saco * 16 $ dia</t>
  </si>
  <si>
    <t>FINCA</t>
  </si>
  <si>
    <t>Kg</t>
  </si>
  <si>
    <t>U. Parto</t>
  </si>
  <si>
    <t>Becerro</t>
  </si>
  <si>
    <t xml:space="preserve">No. </t>
  </si>
  <si>
    <t>YOLIMAR</t>
  </si>
  <si>
    <t>96</t>
  </si>
  <si>
    <t>MORENA</t>
  </si>
  <si>
    <t>599</t>
  </si>
  <si>
    <t>18002</t>
  </si>
  <si>
    <t>ESPERANZA</t>
  </si>
  <si>
    <t>97</t>
  </si>
  <si>
    <t>LA NEGRA</t>
  </si>
  <si>
    <t>670 kg</t>
  </si>
  <si>
    <t>800$</t>
  </si>
  <si>
    <t xml:space="preserve"> ingreso de  2 toros Senepol uno con peso 380kg  y otro con 290 kg</t>
  </si>
  <si>
    <t>Horras</t>
  </si>
  <si>
    <t>Observaciones</t>
  </si>
  <si>
    <t>Estrella</t>
  </si>
  <si>
    <t>Toncha</t>
  </si>
  <si>
    <t>Vend</t>
  </si>
  <si>
    <t>10/8/2023 peso 193kg</t>
  </si>
  <si>
    <t>10/8/2023 peso 174kg</t>
  </si>
  <si>
    <t>Vendido</t>
  </si>
  <si>
    <t>H DE  BLANQUITA</t>
  </si>
  <si>
    <t>H DE  TONCHA</t>
  </si>
  <si>
    <t>H de Carapacho</t>
  </si>
  <si>
    <t>H de Comienzo</t>
  </si>
  <si>
    <t>1,2$ kg</t>
  </si>
  <si>
    <t>1$ kg</t>
  </si>
  <si>
    <t>1.1$ kg</t>
  </si>
  <si>
    <t>Josue Fuentes</t>
  </si>
  <si>
    <t xml:space="preserve">Wilkar sequera </t>
  </si>
  <si>
    <t>Tipo</t>
  </si>
  <si>
    <t>Vaca</t>
  </si>
  <si>
    <t>B Ordeño</t>
  </si>
  <si>
    <t>calcio por vía intravenosa por lo menos dos frascos de 500ml</t>
  </si>
  <si>
    <t xml:space="preserve"> y que seguido le pusiera un complejo con vitamina b12 unos 20ml intramuscular por 5 días seguidos esto le levantara el apetito. </t>
  </si>
  <si>
    <t>y ademas de esto buscara algún tipo de ruminal o ruminatorio en sobre para que le regule las bacterias en el rumen y así pueda asimilar mejor los alimentos.</t>
  </si>
  <si>
    <t xml:space="preserve"> agua a libre acceso,</t>
  </si>
  <si>
    <t xml:space="preserve"> pasto seco como fuente de fibra, concentrado al 20% mínimo de proteína unas 10 libras al día asta que se recupere junto con una fuente de grasa y energía que puede ser melaza. antes hacerle el tratamiento que le mencione y vera un mejoramiento con es paso de los dias. al dia 10 de empesar con el tratamiento se le puede aplicar vitamina ade3 y un estracto de hígado y una caseina para elevar las defensas y los globulos en la sangre.</t>
  </si>
  <si>
    <t>Nombre Madre</t>
  </si>
  <si>
    <t>H DE Yolimar 1</t>
  </si>
  <si>
    <t>022195</t>
  </si>
  <si>
    <t>022211</t>
  </si>
  <si>
    <t>022241</t>
  </si>
  <si>
    <t>022253</t>
  </si>
  <si>
    <t>H DE La Negra</t>
  </si>
  <si>
    <t>Num Asigado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</si>
  <si>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</si>
  <si>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</si>
  <si>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</si>
  <si>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</si>
  <si>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</si>
  <si>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</si>
  <si>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</si>
  <si>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</si>
  <si>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</si>
  <si>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</si>
  <si>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</si>
  <si>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</si>
  <si>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</si>
  <si>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</si>
  <si>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</si>
  <si>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</si>
  <si>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</si>
  <si>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</si>
  <si>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</si>
  <si>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</si>
  <si>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</si>
  <si>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</si>
  <si>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</si>
  <si>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</si>
  <si>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025</t>
  </si>
  <si>
    <t>026</t>
  </si>
  <si>
    <t>027</t>
  </si>
  <si>
    <t>028</t>
  </si>
  <si>
    <t>029</t>
  </si>
  <si>
    <t>030</t>
  </si>
  <si>
    <t>031</t>
  </si>
  <si>
    <t>18004</t>
  </si>
  <si>
    <t>20010</t>
  </si>
  <si>
    <t>20011</t>
  </si>
  <si>
    <t>21014</t>
  </si>
  <si>
    <t>22017</t>
  </si>
  <si>
    <t>22018</t>
  </si>
  <si>
    <t>22019</t>
  </si>
  <si>
    <t>022223</t>
  </si>
  <si>
    <t>022264</t>
  </si>
  <si>
    <t>023276</t>
  </si>
  <si>
    <t>023279</t>
  </si>
  <si>
    <t>023280</t>
  </si>
  <si>
    <t>23023</t>
  </si>
  <si>
    <t>23024</t>
  </si>
  <si>
    <t>23026</t>
  </si>
  <si>
    <t>23025</t>
  </si>
  <si>
    <t>23027</t>
  </si>
  <si>
    <t>23028</t>
  </si>
  <si>
    <t>23029</t>
  </si>
  <si>
    <t>Servicios</t>
  </si>
  <si>
    <t>No.Vaca</t>
  </si>
  <si>
    <t>indice</t>
  </si>
  <si>
    <t>9009 Sicario</t>
  </si>
  <si>
    <t>Senepol</t>
  </si>
  <si>
    <t>Raza</t>
  </si>
  <si>
    <t>Posible Monta</t>
  </si>
  <si>
    <t>MN</t>
  </si>
  <si>
    <t>Palpaciones</t>
  </si>
  <si>
    <t>F Nacimiento</t>
  </si>
  <si>
    <t>21/8/2023</t>
  </si>
  <si>
    <t>20/9/2023</t>
  </si>
  <si>
    <t>Carapachito</t>
  </si>
  <si>
    <t>Blanquita</t>
  </si>
  <si>
    <t>Vacia</t>
  </si>
  <si>
    <t>O.L</t>
  </si>
  <si>
    <t>O.P</t>
  </si>
  <si>
    <t>P.A</t>
  </si>
  <si>
    <t>Patanemo</t>
  </si>
  <si>
    <t>Cebua</t>
  </si>
  <si>
    <t>holstein pardo</t>
  </si>
  <si>
    <t>hija de F1</t>
  </si>
  <si>
    <t>Pardo Carora</t>
  </si>
  <si>
    <t>Hija de F1</t>
  </si>
  <si>
    <t>Rallada</t>
  </si>
  <si>
    <t>Romo</t>
  </si>
  <si>
    <t>cebua</t>
  </si>
  <si>
    <t>99</t>
  </si>
  <si>
    <t xml:space="preserve">Muerta 01/10/23 </t>
  </si>
  <si>
    <t>Chandy</t>
  </si>
  <si>
    <t>20/10/2023</t>
  </si>
  <si>
    <t>Muerta</t>
  </si>
  <si>
    <t>Nombre:</t>
  </si>
  <si>
    <t>18001</t>
  </si>
  <si>
    <t xml:space="preserve">Status: </t>
  </si>
  <si>
    <t xml:space="preserve">Sexo: </t>
  </si>
  <si>
    <t>Produccion s/yoni:</t>
  </si>
  <si>
    <t>Madre:</t>
  </si>
  <si>
    <t xml:space="preserve">Padre: </t>
  </si>
  <si>
    <t xml:space="preserve">Tipo: </t>
  </si>
  <si>
    <t xml:space="preserve">Lote: </t>
  </si>
  <si>
    <t xml:space="preserve">Edad: </t>
  </si>
  <si>
    <t>Partos</t>
  </si>
  <si>
    <t>Peso al Nacer</t>
  </si>
  <si>
    <t>Produccion</t>
  </si>
  <si>
    <t>Raza:</t>
  </si>
  <si>
    <t>vaca</t>
  </si>
  <si>
    <t>Condicion</t>
  </si>
  <si>
    <t>23030</t>
  </si>
  <si>
    <t>23031</t>
  </si>
  <si>
    <t>Nestor</t>
  </si>
  <si>
    <t>Intervalo entre Parto---&gt;</t>
  </si>
  <si>
    <t>Penultimo P</t>
  </si>
  <si>
    <t>20/11/2023</t>
  </si>
  <si>
    <t>22/11/2023</t>
  </si>
  <si>
    <t>Fecha Nac</t>
  </si>
  <si>
    <t>Sicario</t>
  </si>
  <si>
    <t>El Gringo</t>
  </si>
  <si>
    <t>P001</t>
  </si>
  <si>
    <t>P002</t>
  </si>
  <si>
    <t>Y001</t>
  </si>
  <si>
    <t>Patanemo Yonny</t>
  </si>
  <si>
    <t>032</t>
  </si>
  <si>
    <t>R253</t>
  </si>
  <si>
    <t>R241</t>
  </si>
  <si>
    <t>033</t>
  </si>
  <si>
    <t>034</t>
  </si>
  <si>
    <t>r195</t>
  </si>
  <si>
    <t>23032</t>
  </si>
  <si>
    <t>23033</t>
  </si>
  <si>
    <t>Maute</t>
  </si>
  <si>
    <t>22022</t>
  </si>
  <si>
    <t>Peso al</t>
  </si>
  <si>
    <t>R279</t>
  </si>
  <si>
    <t>P. s/yoni</t>
  </si>
  <si>
    <t>Num/Madre</t>
  </si>
  <si>
    <t>Nom/Madre</t>
  </si>
  <si>
    <t>Vendido 25/11/23</t>
  </si>
  <si>
    <t>180004</t>
  </si>
  <si>
    <t>R211</t>
  </si>
  <si>
    <t>R264</t>
  </si>
  <si>
    <t>R280</t>
  </si>
  <si>
    <t>Vendida 06/12/23</t>
  </si>
  <si>
    <t>Vendida 05/12/23</t>
  </si>
  <si>
    <t>23034</t>
  </si>
  <si>
    <t>Litrosde Leche</t>
  </si>
  <si>
    <t>Monta</t>
  </si>
  <si>
    <t>al dia de Hoy</t>
  </si>
  <si>
    <t>Proximo Celo</t>
  </si>
  <si>
    <t>R223</t>
  </si>
  <si>
    <t>20/12/2023</t>
  </si>
  <si>
    <t>Queso</t>
  </si>
  <si>
    <t>ceba</t>
  </si>
  <si>
    <t>ganacia</t>
  </si>
  <si>
    <t>mes</t>
  </si>
  <si>
    <t>$</t>
  </si>
  <si>
    <t>Inversion</t>
  </si>
  <si>
    <t>Leche</t>
  </si>
  <si>
    <t>Crias</t>
  </si>
  <si>
    <t>Kg--&gt;</t>
  </si>
  <si>
    <t>035</t>
  </si>
  <si>
    <t>23035</t>
  </si>
  <si>
    <t>Ahogada en Rio 29/12/23</t>
  </si>
  <si>
    <t>Revisar el:</t>
  </si>
  <si>
    <t>Saldo</t>
  </si>
  <si>
    <t>Vacas V</t>
  </si>
  <si>
    <t>Vacas N</t>
  </si>
  <si>
    <t>Total Animales</t>
  </si>
  <si>
    <t>Ceba y Crias</t>
  </si>
  <si>
    <t>Carmen</t>
  </si>
  <si>
    <t>Robert</t>
  </si>
  <si>
    <t>Vio</t>
  </si>
  <si>
    <t>16/1/2024</t>
  </si>
  <si>
    <t>Miguel</t>
  </si>
  <si>
    <t>036</t>
  </si>
  <si>
    <t>037</t>
  </si>
  <si>
    <t>24036</t>
  </si>
  <si>
    <t>24037</t>
  </si>
  <si>
    <t>Nombe</t>
  </si>
  <si>
    <t>vio</t>
  </si>
  <si>
    <t>31/1/2024</t>
  </si>
  <si>
    <t xml:space="preserve">Peso al Nacer: </t>
  </si>
  <si>
    <t xml:space="preserve">Fecha Nacimiento: </t>
  </si>
  <si>
    <t>Debe Carmen</t>
  </si>
  <si>
    <t>Semana</t>
  </si>
  <si>
    <t>Nomina Finca</t>
  </si>
  <si>
    <t>Colegio</t>
  </si>
  <si>
    <t>Condominio</t>
  </si>
  <si>
    <t>Prestamo</t>
  </si>
  <si>
    <t>Diciembre</t>
  </si>
  <si>
    <t>Minimo</t>
  </si>
  <si>
    <t>038</t>
  </si>
  <si>
    <t>Numero Vaca</t>
  </si>
  <si>
    <t>Gastos Finca</t>
  </si>
  <si>
    <t>Total Gastos Bs</t>
  </si>
  <si>
    <t>Sobran</t>
  </si>
  <si>
    <t>Cebada</t>
  </si>
  <si>
    <t>24038</t>
  </si>
  <si>
    <t>039</t>
  </si>
  <si>
    <t>24039</t>
  </si>
  <si>
    <t>Simulacion</t>
  </si>
  <si>
    <t>Kg Q</t>
  </si>
  <si>
    <t>Lts L</t>
  </si>
  <si>
    <t>Precio $</t>
  </si>
  <si>
    <t>Prom L/V</t>
  </si>
  <si>
    <t>16/2/2024</t>
  </si>
  <si>
    <t>040</t>
  </si>
  <si>
    <t>Gustavo</t>
  </si>
  <si>
    <t>Ultimos 7 dias----&gt;</t>
  </si>
  <si>
    <t>Peso Salm</t>
  </si>
  <si>
    <t>Ult. Parto</t>
  </si>
  <si>
    <t>Edwing</t>
  </si>
  <si>
    <t>$ Dia</t>
  </si>
  <si>
    <t>kg Q</t>
  </si>
  <si>
    <t>%</t>
  </si>
  <si>
    <t>Ventas dia</t>
  </si>
  <si>
    <t>O gastos</t>
  </si>
  <si>
    <t>Sem</t>
  </si>
  <si>
    <t>Pago</t>
  </si>
  <si>
    <t>Total Ventas $</t>
  </si>
  <si>
    <t>1/3/2024</t>
  </si>
  <si>
    <t>Ultimo----&gt;</t>
  </si>
  <si>
    <t>Promedio---&gt;</t>
  </si>
  <si>
    <t>Casa</t>
  </si>
  <si>
    <t>rob</t>
  </si>
  <si>
    <t>041</t>
  </si>
  <si>
    <t>Cliente</t>
  </si>
  <si>
    <t>Venta de Queso</t>
  </si>
  <si>
    <t>Sac/dia</t>
  </si>
  <si>
    <t>pvp</t>
  </si>
  <si>
    <t>Kg a/dia</t>
  </si>
  <si>
    <t>tot dia</t>
  </si>
  <si>
    <t>15/3/2024</t>
  </si>
  <si>
    <t>muerta 02/4/24</t>
  </si>
  <si>
    <t>24040</t>
  </si>
  <si>
    <t>douglas</t>
  </si>
  <si>
    <t>Cable</t>
  </si>
  <si>
    <t>E138</t>
  </si>
  <si>
    <t>1/4/2024</t>
  </si>
  <si>
    <t>15/4/2024</t>
  </si>
  <si>
    <t>Toro Pocho</t>
  </si>
  <si>
    <t>Gyrolando</t>
  </si>
  <si>
    <t>Luna</t>
  </si>
  <si>
    <t>Oriana</t>
  </si>
  <si>
    <t>H de la negra</t>
  </si>
  <si>
    <t>30/4/2025</t>
  </si>
  <si>
    <t>15/5/2026</t>
  </si>
  <si>
    <t>Coneja</t>
  </si>
  <si>
    <t xml:space="preserve">Oriana </t>
  </si>
  <si>
    <t>Venaita</t>
  </si>
  <si>
    <t>Winder</t>
  </si>
  <si>
    <t>Columna2</t>
  </si>
  <si>
    <t>042</t>
  </si>
  <si>
    <t>24041</t>
  </si>
  <si>
    <t>24042</t>
  </si>
  <si>
    <t>Blanquita 2</t>
  </si>
  <si>
    <t>recien parida</t>
  </si>
  <si>
    <t>Vet. Frank</t>
  </si>
  <si>
    <t>Edad Becerro</t>
  </si>
  <si>
    <t>Maria Corina</t>
  </si>
  <si>
    <t>043</t>
  </si>
  <si>
    <t xml:space="preserve">Fecha </t>
  </si>
  <si>
    <t>Ult.Palpacion</t>
  </si>
  <si>
    <t>Ult. Pesada</t>
  </si>
  <si>
    <t xml:space="preserve"> Ult.Servicio</t>
  </si>
  <si>
    <t>Acum</t>
  </si>
  <si>
    <t>Gest Hoy</t>
  </si>
  <si>
    <t>044</t>
  </si>
  <si>
    <t>24043</t>
  </si>
  <si>
    <t>Adic</t>
  </si>
  <si>
    <t>Vig</t>
  </si>
  <si>
    <t>045</t>
  </si>
  <si>
    <t>24045</t>
  </si>
  <si>
    <t xml:space="preserve">Nomb Madre: </t>
  </si>
  <si>
    <t>046</t>
  </si>
  <si>
    <t>24046</t>
  </si>
  <si>
    <t>469 kg 18/11/24</t>
  </si>
  <si>
    <t>047</t>
  </si>
  <si>
    <t>048</t>
  </si>
  <si>
    <t>24047</t>
  </si>
  <si>
    <t>24048</t>
  </si>
  <si>
    <t>24049</t>
  </si>
  <si>
    <t>Parda</t>
  </si>
  <si>
    <t>Yegua</t>
  </si>
  <si>
    <t>049</t>
  </si>
  <si>
    <t>187 kg el 3/12/24</t>
  </si>
  <si>
    <t>164 kg el 3/12/24</t>
  </si>
  <si>
    <t>103 kg el 3/12/24</t>
  </si>
  <si>
    <t>124 kg el 3/12/24</t>
  </si>
  <si>
    <t>050</t>
  </si>
  <si>
    <t>051</t>
  </si>
  <si>
    <t>24050</t>
  </si>
  <si>
    <t>24051</t>
  </si>
  <si>
    <t>Novilla</t>
  </si>
  <si>
    <t>Comprada Winder</t>
  </si>
  <si>
    <t>Yonny</t>
  </si>
  <si>
    <t>Muerta 08/12/25</t>
  </si>
  <si>
    <t>052</t>
  </si>
  <si>
    <t>25052</t>
  </si>
  <si>
    <t>gyrolando</t>
  </si>
  <si>
    <t>053</t>
  </si>
  <si>
    <t>25053</t>
  </si>
  <si>
    <t>toro pocho</t>
  </si>
  <si>
    <t xml:space="preserve"> S/Servicio</t>
  </si>
  <si>
    <t>Adriana</t>
  </si>
  <si>
    <t>23200</t>
  </si>
  <si>
    <t>23201</t>
  </si>
  <si>
    <t>Comprada Winder 2320</t>
  </si>
  <si>
    <t>Winder s/n</t>
  </si>
  <si>
    <t>S/reg</t>
  </si>
  <si>
    <t>,</t>
  </si>
  <si>
    <t>054</t>
  </si>
  <si>
    <t>25054</t>
  </si>
  <si>
    <t>Fecha de Parto</t>
  </si>
  <si>
    <t>mn</t>
  </si>
  <si>
    <t>Etiquetas de columna</t>
  </si>
  <si>
    <t>Total general</t>
  </si>
  <si>
    <t>ago</t>
  </si>
  <si>
    <t>sept</t>
  </si>
  <si>
    <t>oct</t>
  </si>
  <si>
    <t>nov</t>
  </si>
  <si>
    <t>dic</t>
  </si>
  <si>
    <t>ene</t>
  </si>
  <si>
    <t>feb</t>
  </si>
  <si>
    <t>mar</t>
  </si>
  <si>
    <t>abr</t>
  </si>
  <si>
    <t>may</t>
  </si>
  <si>
    <t>jun</t>
  </si>
  <si>
    <t>jul</t>
  </si>
  <si>
    <t>Etiquetas de fila</t>
  </si>
  <si>
    <t>Suma de Kg</t>
  </si>
  <si>
    <t>Control de Leche Individual</t>
  </si>
  <si>
    <t>Paola</t>
  </si>
  <si>
    <t>R03</t>
  </si>
  <si>
    <t>R02</t>
  </si>
  <si>
    <t>Angelica</t>
  </si>
  <si>
    <t>R04</t>
  </si>
  <si>
    <t>monta</t>
  </si>
  <si>
    <t>055</t>
  </si>
  <si>
    <t>056</t>
  </si>
  <si>
    <t>057</t>
  </si>
  <si>
    <t>058</t>
  </si>
  <si>
    <t>Monserrat</t>
  </si>
  <si>
    <t>Ciclando</t>
  </si>
  <si>
    <t>H Secar</t>
  </si>
  <si>
    <t>Secar</t>
  </si>
  <si>
    <t>R10</t>
  </si>
  <si>
    <t>ANESTRO</t>
  </si>
  <si>
    <t>C.L PERSISTENTE O.D</t>
  </si>
  <si>
    <t>Chocolate</t>
  </si>
  <si>
    <t>Totumita</t>
  </si>
  <si>
    <t>PEINETA</t>
  </si>
  <si>
    <t>R06</t>
  </si>
  <si>
    <t>R07</t>
  </si>
  <si>
    <t>059</t>
  </si>
  <si>
    <t>060</t>
  </si>
  <si>
    <t>061</t>
  </si>
  <si>
    <t>Rpard. B.INVoluc</t>
  </si>
  <si>
    <t>25055</t>
  </si>
  <si>
    <t>25056</t>
  </si>
  <si>
    <t>25057</t>
  </si>
  <si>
    <t>25058</t>
  </si>
  <si>
    <t>25059</t>
  </si>
  <si>
    <t>25060</t>
  </si>
  <si>
    <t>25061</t>
  </si>
  <si>
    <t>Adriana Barreto</t>
  </si>
  <si>
    <t>Paola Barreto</t>
  </si>
  <si>
    <t>Angelica Barreto</t>
  </si>
  <si>
    <t>PEINETA Barreto</t>
  </si>
  <si>
    <t>Totumita Barreto</t>
  </si>
  <si>
    <t>Chocolate Barreto</t>
  </si>
  <si>
    <t>Winder 01</t>
  </si>
  <si>
    <t>SI((MAX.SI.CONJUNTO(Palpaciones[Fecha];Palpaciones[No. ];B4))&gt;I4;MAX.SI.CONJUNTO(Palpaciones[Fecha];Palpaciones[No. ];B4); "por palpar")</t>
  </si>
  <si>
    <t>*(Fichas[Lote]=C2 )</t>
  </si>
  <si>
    <t>Becerras</t>
  </si>
  <si>
    <t>Patanemo Cordero</t>
  </si>
  <si>
    <t>MASSIEL</t>
  </si>
  <si>
    <t>062</t>
  </si>
  <si>
    <t>25062</t>
  </si>
  <si>
    <t>Propietario</t>
  </si>
  <si>
    <t>Castro</t>
  </si>
  <si>
    <t>Barreto</t>
  </si>
  <si>
    <t>Posible parto</t>
  </si>
  <si>
    <t>Desde el destete hasta el inicio de la actividad Sexual</t>
  </si>
  <si>
    <t>Mauta:</t>
  </si>
  <si>
    <t>Novilla:</t>
  </si>
  <si>
    <t>desde el iniciode la actividad Sexual Hasta el primer parto</t>
  </si>
  <si>
    <t>063</t>
  </si>
  <si>
    <t>25063</t>
  </si>
  <si>
    <t>Cordero</t>
  </si>
  <si>
    <t>becerras</t>
  </si>
  <si>
    <t>064</t>
  </si>
  <si>
    <t xml:space="preserve">TATIANA </t>
  </si>
  <si>
    <t>R11</t>
  </si>
  <si>
    <t>Tatiana Barreto</t>
  </si>
  <si>
    <t>R</t>
  </si>
  <si>
    <t>065</t>
  </si>
  <si>
    <t>25065</t>
  </si>
  <si>
    <t>25066</t>
  </si>
  <si>
    <t>R12</t>
  </si>
  <si>
    <t>066</t>
  </si>
  <si>
    <t>Muerta 03/10/25</t>
  </si>
  <si>
    <t>MARIPOSA</t>
  </si>
  <si>
    <t>25067</t>
  </si>
  <si>
    <t>067</t>
  </si>
  <si>
    <t>068</t>
  </si>
  <si>
    <t>25068</t>
  </si>
  <si>
    <t>becerros</t>
  </si>
  <si>
    <t>Vendida el 25/11/25 por hernia</t>
  </si>
  <si>
    <t>069</t>
  </si>
  <si>
    <t>R13</t>
  </si>
  <si>
    <t>La Enana Barreto</t>
  </si>
  <si>
    <t>MARIPOSA Barreto</t>
  </si>
  <si>
    <t>25069</t>
  </si>
  <si>
    <t>La Enana</t>
  </si>
  <si>
    <t>0</t>
  </si>
  <si>
    <t>2</t>
  </si>
  <si>
    <t>3</t>
  </si>
  <si>
    <t>5</t>
  </si>
  <si>
    <t>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</si>
</sst>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[$-1540A]dd\-mmm\-yy;@"/>
    <numFmt numFmtId="165" formatCode="[$-1540A]yy/mm/dd;@"/>
    <numFmt numFmtId="166" formatCode="&quot;$&quot;#,##0.00"/>
    <numFmt numFmtId="167" formatCode="#,##0.00_ ;[Red]\-#,##0.00\ "/>
    <numFmt numFmtId="168" formatCode="[$-1540A]m/d/yyyy;@"/>
    <numFmt numFmtId="169" formatCode="dd/mm/yyyy;@"/>
    <numFmt numFmtId="170" formatCode="[$-1540A]dddd\,dd\-mmm\-yy;@"/>
    <numFmt numFmtId="171" formatCode="dd\-mm\-yy;@"/>
    <numFmt numFmtId="172" formatCode="0.0"/>
  </numFmts>
  <fonts count="3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rgb="FF58585A"/>
      <name val="Arial"/>
      <family val="2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/>
        <bgColor theme="4" tint="0.79998168889431442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/>
      </patternFill>
    </fill>
    <fill>
      <patternFill patternType="solid">
        <fgColor theme="0"/>
        <bgColor theme="4" tint="0.59999389629810485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000"/>
        <bgColor theme="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theme="2"/>
        <bgColor indexed="64"/>
      </patternFill>
    </fill>
  </fills>
  <borders count="8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/>
      <top style="thin">
        <color theme="7"/>
      </top>
      <bottom style="thin">
        <color theme="7"/>
      </bottom>
      <diagonal/>
    </border>
    <border>
      <left/>
      <right style="thin">
        <color theme="7"/>
      </right>
      <top/>
      <bottom style="medium">
        <color theme="7"/>
      </bottom>
      <diagonal/>
    </border>
    <border>
      <left style="thin">
        <color theme="7"/>
      </left>
      <right style="thin">
        <color theme="7"/>
      </right>
      <top/>
      <bottom style="medium">
        <color theme="7"/>
      </bottom>
      <diagonal/>
    </border>
    <border>
      <left style="thin">
        <color theme="7"/>
      </left>
      <right/>
      <top/>
      <bottom style="medium">
        <color theme="7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theme="7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theme="4"/>
      </top>
      <bottom style="thin">
        <color theme="4" tint="0.39997558519241921"/>
      </bottom>
      <diagonal/>
    </border>
    <border>
      <left/>
      <right/>
      <top style="double">
        <color theme="4"/>
      </top>
      <bottom style="thin">
        <color theme="4" tint="0.39997558519241921"/>
      </bottom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medium">
        <color theme="7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8" fillId="4" borderId="26" applyNumberFormat="0" applyAlignment="0" applyProtection="0"/>
    <xf numFmtId="0" fontId="4" fillId="6" borderId="0" applyNumberFormat="0" applyBorder="0" applyAlignment="0" applyProtection="0"/>
  </cellStyleXfs>
  <cellXfs count="59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/>
    <xf numFmtId="164" fontId="0" fillId="0" borderId="0" xfId="0" applyNumberFormat="1" applyAlignment="1">
      <alignment horizontal="center"/>
    </xf>
    <xf numFmtId="164" fontId="0" fillId="0" borderId="1" xfId="0" applyNumberFormat="1" applyBorder="1" applyAlignment="1">
      <alignment horizontal="center"/>
    </xf>
    <xf numFmtId="14" fontId="0" fillId="0" borderId="0" xfId="0" applyNumberFormat="1"/>
    <xf numFmtId="1" fontId="0" fillId="0" borderId="1" xfId="0" applyNumberFormat="1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0" fontId="0" fillId="0" borderId="3" xfId="0" applyBorder="1"/>
    <xf numFmtId="0" fontId="0" fillId="0" borderId="9" xfId="0" applyBorder="1"/>
    <xf numFmtId="0" fontId="0" fillId="0" borderId="4" xfId="0" applyBorder="1"/>
    <xf numFmtId="0" fontId="0" fillId="0" borderId="5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4" fontId="1" fillId="0" borderId="12" xfId="0" applyNumberFormat="1" applyFont="1" applyBorder="1"/>
    <xf numFmtId="0" fontId="0" fillId="0" borderId="13" xfId="0" applyBorder="1"/>
    <xf numFmtId="4" fontId="0" fillId="0" borderId="14" xfId="0" applyNumberFormat="1" applyBorder="1"/>
    <xf numFmtId="4" fontId="0" fillId="0" borderId="15" xfId="0" applyNumberFormat="1" applyBorder="1"/>
    <xf numFmtId="0" fontId="0" fillId="0" borderId="16" xfId="0" applyBorder="1"/>
    <xf numFmtId="4" fontId="0" fillId="0" borderId="1" xfId="0" applyNumberFormat="1" applyBorder="1"/>
    <xf numFmtId="4" fontId="0" fillId="0" borderId="17" xfId="0" applyNumberFormat="1" applyBorder="1"/>
    <xf numFmtId="0" fontId="0" fillId="0" borderId="18" xfId="0" applyBorder="1"/>
    <xf numFmtId="4" fontId="0" fillId="0" borderId="11" xfId="0" applyNumberFormat="1" applyBorder="1"/>
    <xf numFmtId="4" fontId="0" fillId="0" borderId="12" xfId="0" applyNumberFormat="1" applyBorder="1"/>
    <xf numFmtId="4" fontId="0" fillId="0" borderId="0" xfId="0" applyNumberFormat="1"/>
    <xf numFmtId="4" fontId="2" fillId="2" borderId="11" xfId="0" applyNumberFormat="1" applyFont="1" applyFill="1" applyBorder="1"/>
    <xf numFmtId="9" fontId="0" fillId="0" borderId="0" xfId="0" applyNumberFormat="1"/>
    <xf numFmtId="4" fontId="1" fillId="0" borderId="1" xfId="0" applyNumberFormat="1" applyFont="1" applyBorder="1"/>
    <xf numFmtId="4" fontId="2" fillId="0" borderId="1" xfId="0" applyNumberFormat="1" applyFont="1" applyBorder="1"/>
    <xf numFmtId="0" fontId="2" fillId="0" borderId="1" xfId="0" applyFont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4" fontId="0" fillId="0" borderId="1" xfId="0" applyNumberFormat="1" applyBorder="1" applyAlignment="1">
      <alignment horizontal="right"/>
    </xf>
    <xf numFmtId="4" fontId="0" fillId="2" borderId="1" xfId="0" applyNumberFormat="1" applyFill="1" applyBorder="1"/>
    <xf numFmtId="4" fontId="2" fillId="2" borderId="1" xfId="0" applyNumberFormat="1" applyFont="1" applyFill="1" applyBorder="1"/>
    <xf numFmtId="4" fontId="2" fillId="2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0" fontId="0" fillId="0" borderId="0" xfId="1" applyNumberFormat="1" applyFont="1"/>
    <xf numFmtId="0" fontId="0" fillId="0" borderId="0" xfId="0" applyAlignment="1">
      <alignment shrinkToFit="1"/>
    </xf>
    <xf numFmtId="0" fontId="0" fillId="0" borderId="1" xfId="0" applyBorder="1" applyAlignment="1">
      <alignment shrinkToFit="1"/>
    </xf>
    <xf numFmtId="0" fontId="0" fillId="0" borderId="19" xfId="0" applyFill="1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4" fontId="0" fillId="0" borderId="1" xfId="0" applyNumberForma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1" xfId="0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4" fontId="0" fillId="0" borderId="6" xfId="0" applyNumberFormat="1" applyBorder="1" applyAlignment="1">
      <alignment horizontal="center"/>
    </xf>
    <xf numFmtId="2" fontId="0" fillId="0" borderId="1" xfId="0" applyNumberFormat="1" applyBorder="1"/>
    <xf numFmtId="0" fontId="7" fillId="0" borderId="1" xfId="0" applyFont="1" applyBorder="1"/>
    <xf numFmtId="4" fontId="7" fillId="0" borderId="1" xfId="0" applyNumberFormat="1" applyFont="1" applyBorder="1"/>
    <xf numFmtId="166" fontId="0" fillId="0" borderId="4" xfId="0" applyNumberFormat="1" applyBorder="1"/>
    <xf numFmtId="0" fontId="0" fillId="0" borderId="9" xfId="0" applyBorder="1"/>
    <xf numFmtId="0" fontId="0" fillId="0" borderId="27" xfId="0" applyBorder="1"/>
    <xf numFmtId="10" fontId="0" fillId="0" borderId="17" xfId="1" applyNumberFormat="1" applyFont="1" applyBorder="1"/>
    <xf numFmtId="0" fontId="0" fillId="0" borderId="1" xfId="0" applyBorder="1"/>
    <xf numFmtId="9" fontId="0" fillId="0" borderId="1" xfId="1" applyFont="1" applyBorder="1"/>
    <xf numFmtId="0" fontId="8" fillId="4" borderId="28" xfId="2" applyBorder="1" applyAlignment="1">
      <alignment horizontal="right"/>
    </xf>
    <xf numFmtId="0" fontId="8" fillId="4" borderId="29" xfId="2" applyBorder="1" applyAlignment="1">
      <alignment horizontal="right"/>
    </xf>
    <xf numFmtId="0" fontId="8" fillId="4" borderId="26" xfId="2" applyBorder="1" applyAlignment="1">
      <alignment horizontal="right"/>
    </xf>
    <xf numFmtId="0" fontId="0" fillId="0" borderId="17" xfId="0" applyNumberFormat="1" applyBorder="1" applyAlignment="1">
      <alignment horizontal="center"/>
    </xf>
    <xf numFmtId="0" fontId="8" fillId="4" borderId="18" xfId="2" applyBorder="1" applyAlignment="1">
      <alignment horizontal="right"/>
    </xf>
    <xf numFmtId="0" fontId="8" fillId="4" borderId="30" xfId="2" applyBorder="1" applyAlignment="1">
      <alignment horizontal="right"/>
    </xf>
    <xf numFmtId="167" fontId="0" fillId="0" borderId="12" xfId="0" applyNumberFormat="1" applyBorder="1"/>
    <xf numFmtId="0" fontId="1" fillId="5" borderId="1" xfId="0" applyFont="1" applyFill="1" applyBorder="1" applyAlignment="1">
      <alignment horizontal="center"/>
    </xf>
    <xf numFmtId="4" fontId="1" fillId="5" borderId="1" xfId="0" applyNumberFormat="1" applyFont="1" applyFill="1" applyBorder="1" applyAlignment="1">
      <alignment horizontal="center"/>
    </xf>
    <xf numFmtId="9" fontId="1" fillId="5" borderId="1" xfId="1" applyFont="1" applyFill="1" applyBorder="1" applyAlignment="1">
      <alignment horizontal="center"/>
    </xf>
    <xf numFmtId="10" fontId="0" fillId="0" borderId="1" xfId="1" applyNumberFormat="1" applyFont="1" applyBorder="1" applyAlignment="1">
      <alignment horizontal="center"/>
    </xf>
    <xf numFmtId="0" fontId="9" fillId="0" borderId="1" xfId="0" applyFont="1" applyBorder="1"/>
    <xf numFmtId="0" fontId="0" fillId="0" borderId="22" xfId="0" applyBorder="1" applyAlignment="1">
      <alignment horizontal="center"/>
    </xf>
    <xf numFmtId="0" fontId="0" fillId="8" borderId="23" xfId="0" applyFont="1" applyFill="1" applyBorder="1" applyAlignment="1">
      <alignment horizontal="center"/>
    </xf>
    <xf numFmtId="0" fontId="5" fillId="3" borderId="14" xfId="0" applyFont="1" applyFill="1" applyBorder="1" applyAlignment="1">
      <alignment horizontal="center"/>
    </xf>
    <xf numFmtId="0" fontId="0" fillId="8" borderId="1" xfId="0" applyFont="1" applyFill="1" applyBorder="1"/>
    <xf numFmtId="0" fontId="0" fillId="7" borderId="1" xfId="0" applyFont="1" applyFill="1" applyBorder="1"/>
    <xf numFmtId="0" fontId="0" fillId="8" borderId="1" xfId="0" applyFont="1" applyFill="1" applyBorder="1" applyAlignment="1">
      <alignment horizontal="center"/>
    </xf>
    <xf numFmtId="0" fontId="0" fillId="7" borderId="1" xfId="0" applyFont="1" applyFill="1" applyBorder="1" applyAlignment="1">
      <alignment horizontal="center"/>
    </xf>
    <xf numFmtId="0" fontId="4" fillId="6" borderId="1" xfId="3" applyBorder="1"/>
    <xf numFmtId="0" fontId="0" fillId="0" borderId="22" xfId="0" applyBorder="1"/>
    <xf numFmtId="168" fontId="0" fillId="0" borderId="0" xfId="0" applyNumberFormat="1" applyAlignment="1">
      <alignment horizontal="center"/>
    </xf>
    <xf numFmtId="168" fontId="0" fillId="0" borderId="3" xfId="0" applyNumberFormat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168" fontId="0" fillId="0" borderId="1" xfId="0" applyNumberFormat="1" applyFill="1" applyBorder="1" applyAlignment="1">
      <alignment horizontal="center"/>
    </xf>
    <xf numFmtId="168" fontId="0" fillId="0" borderId="22" xfId="0" applyNumberFormat="1" applyBorder="1" applyAlignment="1">
      <alignment horizontal="center"/>
    </xf>
    <xf numFmtId="164" fontId="0" fillId="0" borderId="1" xfId="0" applyNumberForma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2" fontId="0" fillId="0" borderId="0" xfId="0" applyNumberFormat="1"/>
    <xf numFmtId="0" fontId="4" fillId="6" borderId="1" xfId="3" applyBorder="1" applyAlignment="1">
      <alignment horizontal="center"/>
    </xf>
    <xf numFmtId="14" fontId="0" fillId="8" borderId="6" xfId="0" applyNumberFormat="1" applyFont="1" applyFill="1" applyBorder="1" applyAlignment="1">
      <alignment horizontal="center"/>
    </xf>
    <xf numFmtId="165" fontId="5" fillId="3" borderId="24" xfId="0" applyNumberFormat="1" applyFont="1" applyFill="1" applyBorder="1" applyAlignment="1">
      <alignment horizontal="center"/>
    </xf>
    <xf numFmtId="0" fontId="5" fillId="3" borderId="25" xfId="0" applyFont="1" applyFill="1" applyBorder="1" applyAlignment="1">
      <alignment horizontal="center"/>
    </xf>
    <xf numFmtId="0" fontId="0" fillId="8" borderId="2" xfId="0" applyNumberFormat="1" applyFont="1" applyFill="1" applyBorder="1" applyAlignment="1">
      <alignment horizontal="center"/>
    </xf>
    <xf numFmtId="0" fontId="0" fillId="8" borderId="22" xfId="0" applyFont="1" applyFill="1" applyBorder="1" applyAlignment="1">
      <alignment horizontal="center"/>
    </xf>
    <xf numFmtId="0" fontId="0" fillId="8" borderId="22" xfId="0" applyFont="1" applyFill="1" applyBorder="1"/>
    <xf numFmtId="0" fontId="0" fillId="8" borderId="21" xfId="0" applyFont="1" applyFill="1" applyBorder="1" applyAlignment="1">
      <alignment horizontal="center"/>
    </xf>
    <xf numFmtId="169" fontId="0" fillId="0" borderId="6" xfId="0" applyNumberFormat="1" applyBorder="1" applyAlignment="1">
      <alignment horizontal="center"/>
    </xf>
    <xf numFmtId="14" fontId="0" fillId="8" borderId="1" xfId="0" applyNumberFormat="1" applyFont="1" applyFill="1" applyBorder="1" applyAlignment="1">
      <alignment horizontal="center"/>
    </xf>
    <xf numFmtId="14" fontId="0" fillId="7" borderId="1" xfId="0" applyNumberFormat="1" applyFont="1" applyFill="1" applyBorder="1" applyAlignment="1">
      <alignment horizontal="center"/>
    </xf>
    <xf numFmtId="49" fontId="10" fillId="0" borderId="0" xfId="0" applyNumberFormat="1" applyFont="1" applyAlignment="1">
      <alignment vertical="top" wrapText="1" shrinkToFit="1"/>
    </xf>
    <xf numFmtId="49" fontId="0" fillId="0" borderId="0" xfId="0" applyNumberFormat="1"/>
    <xf numFmtId="0" fontId="0" fillId="0" borderId="0" xfId="0" applyAlignment="1"/>
    <xf numFmtId="49" fontId="0" fillId="7" borderId="1" xfId="0" applyNumberFormat="1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2" fontId="0" fillId="0" borderId="0" xfId="0" applyNumberFormat="1" applyAlignment="1">
      <alignment horizontal="center"/>
    </xf>
    <xf numFmtId="14" fontId="11" fillId="8" borderId="6" xfId="0" applyNumberFormat="1" applyFont="1" applyFill="1" applyBorder="1" applyAlignment="1">
      <alignment horizontal="center"/>
    </xf>
    <xf numFmtId="0" fontId="11" fillId="8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14" fontId="1" fillId="0" borderId="1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165" fontId="5" fillId="3" borderId="16" xfId="0" applyNumberFormat="1" applyFont="1" applyFill="1" applyBorder="1" applyAlignment="1">
      <alignment horizontal="center"/>
    </xf>
    <xf numFmtId="0" fontId="5" fillId="3" borderId="17" xfId="0" applyFont="1" applyFill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17" xfId="0" applyNumberFormat="1" applyFont="1" applyBorder="1" applyAlignment="1">
      <alignment horizontal="center"/>
    </xf>
    <xf numFmtId="2" fontId="1" fillId="0" borderId="12" xfId="0" applyNumberFormat="1" applyFon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0" fillId="10" borderId="35" xfId="0" applyFont="1" applyFill="1" applyBorder="1"/>
    <xf numFmtId="0" fontId="0" fillId="0" borderId="35" xfId="0" applyFont="1" applyBorder="1"/>
    <xf numFmtId="0" fontId="0" fillId="10" borderId="37" xfId="0" applyFont="1" applyFill="1" applyBorder="1" applyAlignment="1">
      <alignment horizontal="center"/>
    </xf>
    <xf numFmtId="0" fontId="0" fillId="0" borderId="37" xfId="0" applyFont="1" applyBorder="1" applyAlignment="1">
      <alignment horizontal="center"/>
    </xf>
    <xf numFmtId="0" fontId="1" fillId="0" borderId="39" xfId="0" applyFont="1" applyBorder="1"/>
    <xf numFmtId="14" fontId="0" fillId="0" borderId="10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165" fontId="5" fillId="3" borderId="41" xfId="0" applyNumberFormat="1" applyFont="1" applyFill="1" applyBorder="1" applyAlignment="1">
      <alignment horizontal="center"/>
    </xf>
    <xf numFmtId="0" fontId="5" fillId="3" borderId="42" xfId="0" applyFont="1" applyFill="1" applyBorder="1" applyAlignment="1">
      <alignment horizontal="center"/>
    </xf>
    <xf numFmtId="165" fontId="13" fillId="3" borderId="41" xfId="0" applyNumberFormat="1" applyFont="1" applyFill="1" applyBorder="1" applyAlignment="1"/>
    <xf numFmtId="2" fontId="0" fillId="0" borderId="12" xfId="0" applyNumberFormat="1" applyBorder="1" applyAlignment="1">
      <alignment horizontal="center"/>
    </xf>
    <xf numFmtId="0" fontId="5" fillId="3" borderId="44" xfId="0" applyFont="1" applyFill="1" applyBorder="1" applyAlignment="1"/>
    <xf numFmtId="164" fontId="1" fillId="0" borderId="11" xfId="0" applyNumberFormat="1" applyFont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49" fontId="13" fillId="3" borderId="16" xfId="0" applyNumberFormat="1" applyFont="1" applyFill="1" applyBorder="1" applyAlignment="1">
      <alignment horizontal="center" vertical="center"/>
    </xf>
    <xf numFmtId="49" fontId="14" fillId="6" borderId="46" xfId="3" applyNumberFormat="1" applyFont="1" applyFill="1" applyBorder="1" applyAlignment="1">
      <alignment horizontal="center"/>
    </xf>
    <xf numFmtId="0" fontId="14" fillId="6" borderId="47" xfId="3" applyFont="1" applyFill="1" applyBorder="1" applyAlignment="1">
      <alignment horizontal="center"/>
    </xf>
    <xf numFmtId="49" fontId="0" fillId="11" borderId="0" xfId="0" applyNumberFormat="1" applyFill="1"/>
    <xf numFmtId="0" fontId="0" fillId="11" borderId="0" xfId="0" applyFill="1"/>
    <xf numFmtId="49" fontId="6" fillId="12" borderId="24" xfId="3" applyNumberFormat="1" applyFont="1" applyFill="1" applyBorder="1" applyAlignment="1">
      <alignment horizontal="center"/>
    </xf>
    <xf numFmtId="0" fontId="6" fillId="12" borderId="14" xfId="3" applyFont="1" applyFill="1" applyBorder="1" applyAlignment="1">
      <alignment horizontal="center"/>
    </xf>
    <xf numFmtId="164" fontId="0" fillId="0" borderId="16" xfId="0" applyNumberFormat="1" applyFont="1" applyBorder="1" applyAlignment="1">
      <alignment horizontal="center"/>
    </xf>
    <xf numFmtId="0" fontId="0" fillId="11" borderId="48" xfId="0" applyFont="1" applyFill="1" applyBorder="1" applyAlignment="1">
      <alignment horizontal="center"/>
    </xf>
    <xf numFmtId="0" fontId="0" fillId="11" borderId="19" xfId="0" applyFont="1" applyFill="1" applyBorder="1"/>
    <xf numFmtId="164" fontId="4" fillId="12" borderId="16" xfId="3" applyNumberFormat="1" applyFill="1" applyBorder="1" applyAlignment="1">
      <alignment horizontal="center"/>
    </xf>
    <xf numFmtId="2" fontId="0" fillId="0" borderId="16" xfId="0" applyNumberFormat="1" applyFont="1" applyBorder="1" applyAlignment="1">
      <alignment horizontal="center"/>
    </xf>
    <xf numFmtId="2" fontId="4" fillId="12" borderId="16" xfId="3" applyNumberFormat="1" applyFill="1" applyBorder="1" applyAlignment="1">
      <alignment horizontal="center"/>
    </xf>
    <xf numFmtId="0" fontId="6" fillId="12" borderId="0" xfId="3" applyFont="1" applyFill="1" applyBorder="1" applyAlignment="1">
      <alignment horizontal="center"/>
    </xf>
    <xf numFmtId="14" fontId="6" fillId="12" borderId="0" xfId="3" applyNumberFormat="1" applyFont="1" applyFill="1" applyBorder="1" applyAlignment="1">
      <alignment horizontal="center"/>
    </xf>
    <xf numFmtId="49" fontId="0" fillId="0" borderId="0" xfId="3" applyNumberFormat="1" applyFont="1" applyFill="1" applyBorder="1" applyAlignment="1">
      <alignment horizontal="center"/>
    </xf>
    <xf numFmtId="0" fontId="0" fillId="0" borderId="0" xfId="3" applyFont="1" applyFill="1" applyBorder="1"/>
    <xf numFmtId="0" fontId="0" fillId="0" borderId="0" xfId="3" applyFont="1" applyFill="1" applyBorder="1" applyAlignment="1">
      <alignment horizontal="center"/>
    </xf>
    <xf numFmtId="169" fontId="0" fillId="0" borderId="0" xfId="3" applyNumberFormat="1" applyFont="1" applyFill="1" applyBorder="1" applyAlignment="1">
      <alignment horizontal="center"/>
    </xf>
    <xf numFmtId="1" fontId="0" fillId="0" borderId="0" xfId="3" applyNumberFormat="1" applyFont="1" applyFill="1" applyBorder="1"/>
    <xf numFmtId="14" fontId="0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0" fontId="0" fillId="0" borderId="0" xfId="3" applyNumberFormat="1" applyFont="1" applyFill="1" applyBorder="1"/>
    <xf numFmtId="49" fontId="0" fillId="0" borderId="0" xfId="0" applyNumberFormat="1" applyFont="1" applyFill="1" applyBorder="1" applyAlignment="1">
      <alignment horizontal="center"/>
    </xf>
    <xf numFmtId="165" fontId="0" fillId="0" borderId="1" xfId="0" applyNumberFormat="1" applyFont="1" applyFill="1" applyBorder="1" applyAlignment="1">
      <alignment horizontal="center"/>
    </xf>
    <xf numFmtId="0" fontId="0" fillId="0" borderId="1" xfId="0" applyFont="1" applyFill="1" applyBorder="1" applyAlignment="1"/>
    <xf numFmtId="0" fontId="0" fillId="0" borderId="1" xfId="0" applyFont="1" applyFill="1" applyBorder="1" applyAlignment="1">
      <alignment horizontal="center"/>
    </xf>
    <xf numFmtId="2" fontId="0" fillId="0" borderId="1" xfId="0" applyNumberFormat="1" applyFont="1" applyFill="1" applyBorder="1" applyAlignment="1">
      <alignment horizontal="center"/>
    </xf>
    <xf numFmtId="49" fontId="0" fillId="0" borderId="1" xfId="0" applyNumberFormat="1" applyFont="1" applyFill="1" applyBorder="1" applyAlignment="1">
      <alignment horizontal="center"/>
    </xf>
    <xf numFmtId="164" fontId="0" fillId="0" borderId="1" xfId="0" applyNumberFormat="1" applyFont="1" applyFill="1" applyBorder="1" applyAlignment="1">
      <alignment horizontal="center"/>
    </xf>
    <xf numFmtId="0" fontId="0" fillId="0" borderId="1" xfId="0" applyNumberFormat="1" applyFont="1" applyFill="1" applyBorder="1" applyAlignment="1">
      <alignment horizontal="center"/>
    </xf>
    <xf numFmtId="14" fontId="0" fillId="0" borderId="1" xfId="0" applyNumberFormat="1" applyFont="1" applyFill="1" applyBorder="1" applyAlignment="1">
      <alignment horizontal="center"/>
    </xf>
    <xf numFmtId="0" fontId="0" fillId="0" borderId="1" xfId="0" applyFont="1" applyFill="1" applyBorder="1"/>
    <xf numFmtId="0" fontId="0" fillId="0" borderId="49" xfId="3" applyFont="1" applyFill="1" applyBorder="1"/>
    <xf numFmtId="14" fontId="4" fillId="11" borderId="16" xfId="3" applyNumberFormat="1" applyFill="1" applyBorder="1" applyAlignment="1">
      <alignment horizontal="center"/>
    </xf>
    <xf numFmtId="164" fontId="0" fillId="0" borderId="1" xfId="0" applyNumberFormat="1" applyFont="1" applyBorder="1" applyAlignment="1">
      <alignment horizontal="center"/>
    </xf>
    <xf numFmtId="164" fontId="4" fillId="11" borderId="16" xfId="3" applyNumberFormat="1" applyFill="1" applyBorder="1" applyAlignment="1">
      <alignment horizontal="center"/>
    </xf>
    <xf numFmtId="164" fontId="0" fillId="0" borderId="17" xfId="0" applyNumberFormat="1" applyFont="1" applyBorder="1" applyAlignment="1">
      <alignment horizontal="center"/>
    </xf>
    <xf numFmtId="0" fontId="15" fillId="0" borderId="0" xfId="3" applyFont="1" applyFill="1" applyBorder="1"/>
    <xf numFmtId="49" fontId="0" fillId="0" borderId="16" xfId="0" applyNumberFormat="1" applyFont="1" applyBorder="1" applyAlignment="1">
      <alignment horizontal="center"/>
    </xf>
    <xf numFmtId="49" fontId="4" fillId="12" borderId="16" xfId="3" applyNumberFormat="1" applyFill="1" applyBorder="1" applyAlignment="1">
      <alignment horizontal="center"/>
    </xf>
    <xf numFmtId="2" fontId="15" fillId="0" borderId="16" xfId="0" applyNumberFormat="1" applyFont="1" applyBorder="1" applyAlignment="1">
      <alignment horizontal="center"/>
    </xf>
    <xf numFmtId="164" fontId="0" fillId="7" borderId="16" xfId="0" applyNumberFormat="1" applyFont="1" applyFill="1" applyBorder="1" applyAlignment="1">
      <alignment horizontal="center"/>
    </xf>
    <xf numFmtId="49" fontId="0" fillId="0" borderId="1" xfId="0" applyNumberFormat="1" applyFont="1" applyBorder="1" applyAlignment="1">
      <alignment horizontal="center"/>
    </xf>
    <xf numFmtId="49" fontId="0" fillId="12" borderId="1" xfId="3" applyNumberFormat="1" applyFont="1" applyFill="1" applyBorder="1" applyAlignment="1">
      <alignment horizontal="center"/>
    </xf>
    <xf numFmtId="164" fontId="0" fillId="12" borderId="16" xfId="3" applyNumberFormat="1" applyFont="1" applyFill="1" applyBorder="1" applyAlignment="1">
      <alignment horizontal="center"/>
    </xf>
    <xf numFmtId="2" fontId="0" fillId="7" borderId="16" xfId="0" applyNumberFormat="1" applyFont="1" applyFill="1" applyBorder="1" applyAlignment="1">
      <alignment horizontal="center"/>
    </xf>
    <xf numFmtId="2" fontId="0" fillId="12" borderId="16" xfId="3" applyNumberFormat="1" applyFont="1" applyFill="1" applyBorder="1" applyAlignment="1">
      <alignment horizontal="center"/>
    </xf>
    <xf numFmtId="2" fontId="15" fillId="7" borderId="16" xfId="0" applyNumberFormat="1" applyFont="1" applyFill="1" applyBorder="1" applyAlignment="1">
      <alignment horizontal="center"/>
    </xf>
    <xf numFmtId="0" fontId="14" fillId="12" borderId="50" xfId="3" applyFont="1" applyFill="1" applyBorder="1" applyAlignment="1">
      <alignment horizontal="center"/>
    </xf>
    <xf numFmtId="49" fontId="14" fillId="12" borderId="14" xfId="3" applyNumberFormat="1" applyFont="1" applyFill="1" applyBorder="1" applyAlignment="1">
      <alignment horizontal="center"/>
    </xf>
    <xf numFmtId="0" fontId="14" fillId="12" borderId="14" xfId="3" applyFont="1" applyFill="1" applyBorder="1" applyAlignment="1">
      <alignment horizontal="center"/>
    </xf>
    <xf numFmtId="14" fontId="14" fillId="12" borderId="51" xfId="3" applyNumberFormat="1" applyFont="1" applyFill="1" applyBorder="1" applyAlignment="1">
      <alignment horizontal="center"/>
    </xf>
    <xf numFmtId="164" fontId="0" fillId="7" borderId="52" xfId="0" applyNumberFormat="1" applyFont="1" applyFill="1" applyBorder="1" applyAlignment="1">
      <alignment horizontal="center"/>
    </xf>
    <xf numFmtId="49" fontId="0" fillId="7" borderId="22" xfId="0" applyNumberFormat="1" applyFont="1" applyFill="1" applyBorder="1" applyAlignment="1">
      <alignment horizontal="center"/>
    </xf>
    <xf numFmtId="2" fontId="15" fillId="7" borderId="52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164" fontId="17" fillId="6" borderId="44" xfId="3" applyNumberFormat="1" applyFont="1" applyFill="1" applyBorder="1" applyAlignment="1">
      <alignment horizontal="center"/>
    </xf>
    <xf numFmtId="164" fontId="0" fillId="11" borderId="19" xfId="0" applyNumberFormat="1" applyFont="1" applyFill="1" applyBorder="1"/>
    <xf numFmtId="0" fontId="1" fillId="11" borderId="53" xfId="0" applyFont="1" applyFill="1" applyBorder="1"/>
    <xf numFmtId="2" fontId="1" fillId="0" borderId="54" xfId="0" applyNumberFormat="1" applyFont="1" applyBorder="1"/>
    <xf numFmtId="0" fontId="20" fillId="0" borderId="40" xfId="0" applyFont="1" applyBorder="1" applyAlignment="1">
      <alignment horizontal="center"/>
    </xf>
    <xf numFmtId="0" fontId="21" fillId="0" borderId="0" xfId="0" applyFont="1"/>
    <xf numFmtId="14" fontId="18" fillId="0" borderId="39" xfId="0" applyNumberFormat="1" applyFont="1" applyBorder="1" applyAlignment="1">
      <alignment horizontal="center"/>
    </xf>
    <xf numFmtId="0" fontId="21" fillId="0" borderId="35" xfId="0" applyFont="1" applyBorder="1" applyAlignment="1">
      <alignment horizontal="center"/>
    </xf>
    <xf numFmtId="0" fontId="21" fillId="10" borderId="35" xfId="0" applyFont="1" applyFill="1" applyBorder="1" applyAlignment="1">
      <alignment horizontal="center"/>
    </xf>
    <xf numFmtId="0" fontId="16" fillId="0" borderId="0" xfId="0" applyFont="1"/>
    <xf numFmtId="0" fontId="19" fillId="0" borderId="39" xfId="0" applyFont="1" applyBorder="1"/>
    <xf numFmtId="49" fontId="16" fillId="0" borderId="35" xfId="0" applyNumberFormat="1" applyFont="1" applyBorder="1" applyAlignment="1">
      <alignment horizontal="center"/>
    </xf>
    <xf numFmtId="49" fontId="16" fillId="10" borderId="35" xfId="0" applyNumberFormat="1" applyFont="1" applyFill="1" applyBorder="1" applyAlignment="1">
      <alignment horizontal="center"/>
    </xf>
    <xf numFmtId="0" fontId="19" fillId="0" borderId="38" xfId="0" applyFont="1" applyBorder="1" applyAlignment="1">
      <alignment horizontal="center"/>
    </xf>
    <xf numFmtId="14" fontId="16" fillId="0" borderId="36" xfId="0" applyNumberFormat="1" applyFont="1" applyBorder="1" applyAlignment="1">
      <alignment horizontal="center"/>
    </xf>
    <xf numFmtId="14" fontId="16" fillId="10" borderId="36" xfId="0" applyNumberFormat="1" applyFont="1" applyFill="1" applyBorder="1" applyAlignment="1">
      <alignment horizontal="center"/>
    </xf>
    <xf numFmtId="0" fontId="19" fillId="0" borderId="45" xfId="0" applyFont="1" applyBorder="1" applyAlignment="1">
      <alignment horizontal="center"/>
    </xf>
    <xf numFmtId="0" fontId="16" fillId="0" borderId="37" xfId="0" applyFont="1" applyBorder="1" applyAlignment="1">
      <alignment horizontal="center"/>
    </xf>
    <xf numFmtId="0" fontId="16" fillId="10" borderId="37" xfId="0" applyFont="1" applyFill="1" applyBorder="1" applyAlignment="1">
      <alignment horizontal="center"/>
    </xf>
    <xf numFmtId="2" fontId="0" fillId="0" borderId="0" xfId="3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5" fillId="0" borderId="14" xfId="0" applyFont="1" applyFill="1" applyBorder="1" applyAlignment="1">
      <alignment horizontal="center"/>
    </xf>
    <xf numFmtId="2" fontId="0" fillId="0" borderId="1" xfId="0" applyNumberFormat="1" applyFill="1" applyBorder="1" applyAlignment="1">
      <alignment horizontal="center"/>
    </xf>
    <xf numFmtId="164" fontId="0" fillId="11" borderId="16" xfId="0" applyNumberFormat="1" applyFill="1" applyBorder="1" applyAlignment="1">
      <alignment horizontal="center"/>
    </xf>
    <xf numFmtId="49" fontId="0" fillId="11" borderId="1" xfId="0" applyNumberFormat="1" applyFill="1" applyBorder="1" applyAlignment="1">
      <alignment horizontal="center"/>
    </xf>
    <xf numFmtId="0" fontId="0" fillId="11" borderId="1" xfId="0" applyFill="1" applyBorder="1" applyAlignment="1">
      <alignment horizontal="left"/>
    </xf>
    <xf numFmtId="2" fontId="0" fillId="11" borderId="1" xfId="0" applyNumberFormat="1" applyFill="1" applyBorder="1" applyAlignment="1">
      <alignment horizontal="center"/>
    </xf>
    <xf numFmtId="49" fontId="0" fillId="13" borderId="1" xfId="0" applyNumberFormat="1" applyFont="1" applyFill="1" applyBorder="1" applyAlignment="1">
      <alignment horizontal="center"/>
    </xf>
    <xf numFmtId="0" fontId="0" fillId="13" borderId="1" xfId="0" applyFont="1" applyFill="1" applyBorder="1" applyAlignment="1">
      <alignment horizontal="left"/>
    </xf>
    <xf numFmtId="2" fontId="0" fillId="13" borderId="1" xfId="0" applyNumberFormat="1" applyFont="1" applyFill="1" applyBorder="1" applyAlignment="1">
      <alignment horizontal="center"/>
    </xf>
    <xf numFmtId="49" fontId="0" fillId="14" borderId="1" xfId="0" applyNumberFormat="1" applyFont="1" applyFill="1" applyBorder="1" applyAlignment="1">
      <alignment horizontal="center"/>
    </xf>
    <xf numFmtId="0" fontId="0" fillId="14" borderId="1" xfId="0" applyFont="1" applyFill="1" applyBorder="1" applyAlignment="1">
      <alignment horizontal="left"/>
    </xf>
    <xf numFmtId="2" fontId="0" fillId="14" borderId="1" xfId="0" applyNumberFormat="1" applyFont="1" applyFill="1" applyBorder="1" applyAlignment="1">
      <alignment horizontal="center"/>
    </xf>
    <xf numFmtId="49" fontId="0" fillId="14" borderId="31" xfId="0" applyNumberFormat="1" applyFont="1" applyFill="1" applyBorder="1" applyAlignment="1">
      <alignment horizontal="center"/>
    </xf>
    <xf numFmtId="4" fontId="0" fillId="14" borderId="1" xfId="0" applyNumberFormat="1" applyFont="1" applyFill="1" applyBorder="1" applyAlignment="1">
      <alignment horizontal="center"/>
    </xf>
    <xf numFmtId="49" fontId="0" fillId="13" borderId="31" xfId="0" applyNumberFormat="1" applyFont="1" applyFill="1" applyBorder="1" applyAlignment="1">
      <alignment horizontal="center"/>
    </xf>
    <xf numFmtId="4" fontId="0" fillId="13" borderId="1" xfId="0" applyNumberFormat="1" applyFont="1" applyFill="1" applyBorder="1" applyAlignment="1">
      <alignment horizontal="center"/>
    </xf>
    <xf numFmtId="0" fontId="1" fillId="0" borderId="56" xfId="0" applyNumberFormat="1" applyFont="1" applyBorder="1" applyAlignment="1">
      <alignment horizontal="center"/>
    </xf>
    <xf numFmtId="2" fontId="1" fillId="0" borderId="56" xfId="0" applyNumberFormat="1" applyFont="1" applyBorder="1" applyAlignment="1">
      <alignment horizontal="center"/>
    </xf>
    <xf numFmtId="0" fontId="0" fillId="0" borderId="6" xfId="0" applyBorder="1" applyAlignment="1">
      <alignment horizontal="right"/>
    </xf>
    <xf numFmtId="0" fontId="0" fillId="0" borderId="6" xfId="0" applyBorder="1"/>
    <xf numFmtId="0" fontId="0" fillId="0" borderId="57" xfId="0" applyBorder="1"/>
    <xf numFmtId="14" fontId="1" fillId="0" borderId="17" xfId="0" applyNumberFormat="1" applyFont="1" applyBorder="1" applyAlignment="1">
      <alignment horizontal="center"/>
    </xf>
    <xf numFmtId="164" fontId="1" fillId="0" borderId="17" xfId="0" applyNumberFormat="1" applyFont="1" applyBorder="1" applyAlignment="1">
      <alignment horizontal="center"/>
    </xf>
    <xf numFmtId="2" fontId="1" fillId="0" borderId="17" xfId="0" applyNumberFormat="1" applyFont="1" applyBorder="1" applyAlignment="1">
      <alignment horizontal="center"/>
    </xf>
    <xf numFmtId="0" fontId="1" fillId="0" borderId="12" xfId="0" applyNumberFormat="1" applyFon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164" fontId="0" fillId="0" borderId="22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164" fontId="0" fillId="0" borderId="2" xfId="0" applyNumberFormat="1" applyBorder="1" applyAlignment="1">
      <alignment horizontal="center"/>
    </xf>
    <xf numFmtId="49" fontId="0" fillId="0" borderId="22" xfId="0" applyNumberFormat="1" applyBorder="1" applyAlignment="1">
      <alignment horizontal="center"/>
    </xf>
    <xf numFmtId="0" fontId="0" fillId="0" borderId="1" xfId="0" applyBorder="1" applyAlignment="1">
      <alignment horizontal="left"/>
    </xf>
    <xf numFmtId="49" fontId="0" fillId="0" borderId="58" xfId="3" applyNumberFormat="1" applyFont="1" applyFill="1" applyBorder="1" applyAlignment="1">
      <alignment horizontal="center"/>
    </xf>
    <xf numFmtId="169" fontId="0" fillId="0" borderId="49" xfId="3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0" fontId="0" fillId="0" borderId="1" xfId="1" applyNumberFormat="1" applyFont="1" applyBorder="1"/>
    <xf numFmtId="10" fontId="2" fillId="0" borderId="1" xfId="1" applyNumberFormat="1" applyFont="1" applyBorder="1" applyAlignment="1">
      <alignment horizontal="center"/>
    </xf>
    <xf numFmtId="4" fontId="0" fillId="15" borderId="1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9" fillId="0" borderId="0" xfId="3" applyFont="1" applyFill="1" applyBorder="1"/>
    <xf numFmtId="0" fontId="0" fillId="0" borderId="1" xfId="0" applyBorder="1" applyAlignment="1">
      <alignment horizontal="center"/>
    </xf>
    <xf numFmtId="4" fontId="7" fillId="0" borderId="0" xfId="0" applyNumberFormat="1" applyFont="1"/>
    <xf numFmtId="4" fontId="24" fillId="0" borderId="1" xfId="0" applyNumberFormat="1" applyFont="1" applyBorder="1"/>
    <xf numFmtId="4" fontId="24" fillId="0" borderId="1" xfId="0" applyNumberFormat="1" applyFont="1" applyBorder="1" applyAlignment="1">
      <alignment horizontal="center"/>
    </xf>
    <xf numFmtId="9" fontId="0" fillId="0" borderId="1" xfId="0" applyNumberFormat="1" applyBorder="1"/>
    <xf numFmtId="0" fontId="2" fillId="0" borderId="1" xfId="0" applyFont="1" applyBorder="1"/>
    <xf numFmtId="0" fontId="7" fillId="0" borderId="0" xfId="0" applyFont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17" fillId="6" borderId="44" xfId="3" applyFont="1" applyFill="1" applyBorder="1" applyAlignment="1">
      <alignment horizontal="center" vertical="center"/>
    </xf>
    <xf numFmtId="0" fontId="0" fillId="0" borderId="0" xfId="0" applyFont="1" applyAlignment="1">
      <alignment horizontal="center"/>
    </xf>
    <xf numFmtId="2" fontId="0" fillId="0" borderId="0" xfId="0" applyNumberFormat="1" applyFont="1" applyBorder="1" applyAlignment="1">
      <alignment horizontal="center"/>
    </xf>
    <xf numFmtId="164" fontId="0" fillId="0" borderId="0" xfId="0" applyNumberFormat="1" applyFo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5" fillId="3" borderId="60" xfId="0" applyFont="1" applyFill="1" applyBorder="1" applyAlignment="1">
      <alignment horizontal="center"/>
    </xf>
    <xf numFmtId="0" fontId="5" fillId="3" borderId="55" xfId="0" applyFont="1" applyFill="1" applyBorder="1" applyAlignment="1">
      <alignment horizontal="center"/>
    </xf>
    <xf numFmtId="0" fontId="25" fillId="3" borderId="55" xfId="0" applyFont="1" applyFill="1" applyBorder="1" applyAlignment="1">
      <alignment horizontal="center"/>
    </xf>
    <xf numFmtId="164" fontId="5" fillId="3" borderId="60" xfId="0" applyNumberFormat="1" applyFont="1" applyFill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0" fontId="1" fillId="0" borderId="1" xfId="0" applyFont="1" applyBorder="1"/>
    <xf numFmtId="0" fontId="1" fillId="0" borderId="1" xfId="0" applyFont="1" applyFill="1" applyBorder="1" applyAlignment="1">
      <alignment horizontal="center"/>
    </xf>
    <xf numFmtId="2" fontId="1" fillId="0" borderId="1" xfId="0" applyNumberFormat="1" applyFont="1" applyBorder="1" applyAlignment="1">
      <alignment horizontal="center"/>
    </xf>
    <xf numFmtId="2" fontId="2" fillId="0" borderId="1" xfId="0" applyNumberFormat="1" applyFont="1" applyBorder="1"/>
    <xf numFmtId="2" fontId="26" fillId="0" borderId="1" xfId="0" applyNumberFormat="1" applyFont="1" applyBorder="1" applyAlignment="1">
      <alignment horizontal="center"/>
    </xf>
    <xf numFmtId="0" fontId="19" fillId="0" borderId="1" xfId="0" applyFont="1" applyFill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24" fillId="0" borderId="1" xfId="0" applyFont="1" applyFill="1" applyBorder="1" applyAlignment="1">
      <alignment horizontal="center"/>
    </xf>
    <xf numFmtId="1" fontId="26" fillId="0" borderId="1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14" fillId="6" borderId="61" xfId="3" applyFont="1" applyFill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18" fillId="0" borderId="1" xfId="0" applyFont="1" applyBorder="1" applyAlignment="1">
      <alignment horizontal="right"/>
    </xf>
    <xf numFmtId="2" fontId="0" fillId="0" borderId="2" xfId="0" applyNumberFormat="1" applyBorder="1" applyAlignment="1">
      <alignment horizontal="center"/>
    </xf>
    <xf numFmtId="0" fontId="19" fillId="0" borderId="1" xfId="0" applyFont="1" applyBorder="1" applyAlignment="1">
      <alignment horizontal="right"/>
    </xf>
    <xf numFmtId="0" fontId="20" fillId="0" borderId="1" xfId="0" applyFont="1" applyBorder="1"/>
    <xf numFmtId="2" fontId="1" fillId="0" borderId="1" xfId="0" applyNumberFormat="1" applyFont="1" applyBorder="1"/>
    <xf numFmtId="2" fontId="19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0" fillId="0" borderId="1" xfId="0" applyBorder="1" applyAlignment="1">
      <alignment horizontal="center"/>
    </xf>
    <xf numFmtId="0" fontId="22" fillId="6" borderId="44" xfId="3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24" fillId="0" borderId="0" xfId="0" applyFont="1" applyFill="1" applyBorder="1" applyAlignment="1">
      <alignment horizontal="center"/>
    </xf>
    <xf numFmtId="2" fontId="26" fillId="0" borderId="0" xfId="0" applyNumberFormat="1" applyFont="1" applyBorder="1" applyAlignment="1">
      <alignment horizontal="center"/>
    </xf>
    <xf numFmtId="0" fontId="0" fillId="0" borderId="24" xfId="0" applyBorder="1"/>
    <xf numFmtId="2" fontId="7" fillId="0" borderId="1" xfId="0" applyNumberFormat="1" applyFont="1" applyBorder="1" applyAlignment="1">
      <alignment horizontal="center"/>
    </xf>
    <xf numFmtId="171" fontId="0" fillId="0" borderId="1" xfId="0" applyNumberFormat="1" applyBorder="1"/>
    <xf numFmtId="2" fontId="0" fillId="0" borderId="14" xfId="0" applyNumberFormat="1" applyFill="1" applyBorder="1" applyAlignment="1">
      <alignment horizontal="center"/>
    </xf>
    <xf numFmtId="2" fontId="1" fillId="0" borderId="14" xfId="0" applyNumberFormat="1" applyFont="1" applyBorder="1" applyAlignment="1">
      <alignment horizontal="center"/>
    </xf>
    <xf numFmtId="170" fontId="0" fillId="7" borderId="23" xfId="0" applyNumberFormat="1" applyFont="1" applyFill="1" applyBorder="1" applyAlignment="1">
      <alignment horizontal="left"/>
    </xf>
    <xf numFmtId="0" fontId="0" fillId="7" borderId="23" xfId="0" applyFont="1" applyFill="1" applyBorder="1" applyAlignment="1">
      <alignment horizontal="center"/>
    </xf>
    <xf numFmtId="2" fontId="0" fillId="7" borderId="23" xfId="0" applyNumberFormat="1" applyFont="1" applyFill="1" applyBorder="1" applyAlignment="1">
      <alignment horizontal="center"/>
    </xf>
    <xf numFmtId="2" fontId="0" fillId="7" borderId="22" xfId="0" applyNumberFormat="1" applyFont="1" applyFill="1" applyBorder="1" applyAlignment="1">
      <alignment horizontal="center"/>
    </xf>
    <xf numFmtId="170" fontId="0" fillId="0" borderId="23" xfId="0" applyNumberFormat="1" applyFont="1" applyBorder="1" applyAlignment="1">
      <alignment horizontal="left"/>
    </xf>
    <xf numFmtId="0" fontId="0" fillId="0" borderId="23" xfId="0" applyFont="1" applyBorder="1" applyAlignment="1">
      <alignment horizontal="center"/>
    </xf>
    <xf numFmtId="2" fontId="0" fillId="0" borderId="23" xfId="0" applyNumberFormat="1" applyFont="1" applyBorder="1" applyAlignment="1">
      <alignment horizontal="center"/>
    </xf>
    <xf numFmtId="2" fontId="0" fillId="0" borderId="22" xfId="0" applyNumberFormat="1" applyFont="1" applyBorder="1" applyAlignment="1">
      <alignment horizontal="center"/>
    </xf>
    <xf numFmtId="0" fontId="0" fillId="0" borderId="23" xfId="0" applyNumberFormat="1" applyFont="1" applyBorder="1" applyAlignment="1">
      <alignment horizontal="center"/>
    </xf>
    <xf numFmtId="0" fontId="0" fillId="7" borderId="23" xfId="0" applyNumberFormat="1" applyFont="1" applyFill="1" applyBorder="1" applyAlignment="1">
      <alignment horizontal="center"/>
    </xf>
    <xf numFmtId="0" fontId="5" fillId="3" borderId="59" xfId="0" applyFont="1" applyFill="1" applyBorder="1" applyAlignment="1">
      <alignment horizontal="center"/>
    </xf>
    <xf numFmtId="0" fontId="5" fillId="3" borderId="19" xfId="0" applyFont="1" applyFill="1" applyBorder="1" applyAlignment="1">
      <alignment horizontal="center"/>
    </xf>
    <xf numFmtId="0" fontId="0" fillId="0" borderId="14" xfId="0" applyBorder="1"/>
    <xf numFmtId="0" fontId="1" fillId="0" borderId="25" xfId="0" applyFont="1" applyBorder="1" applyAlignment="1">
      <alignment horizontal="right"/>
    </xf>
    <xf numFmtId="0" fontId="0" fillId="0" borderId="6" xfId="0" applyBorder="1" applyAlignment="1">
      <alignment horizontal="center" vertical="center"/>
    </xf>
    <xf numFmtId="2" fontId="6" fillId="0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171" fontId="21" fillId="0" borderId="1" xfId="0" applyNumberFormat="1" applyFont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Font="1" applyBorder="1" applyAlignment="1">
      <alignment horizontal="center"/>
    </xf>
    <xf numFmtId="2" fontId="0" fillId="0" borderId="25" xfId="0" applyNumberFormat="1" applyFont="1" applyBorder="1" applyAlignment="1">
      <alignment horizontal="center"/>
    </xf>
    <xf numFmtId="164" fontId="0" fillId="0" borderId="23" xfId="0" applyNumberFormat="1" applyBorder="1" applyAlignment="1">
      <alignment horizontal="center"/>
    </xf>
    <xf numFmtId="0" fontId="6" fillId="0" borderId="1" xfId="0" applyFont="1" applyBorder="1" applyAlignment="1">
      <alignment horizontal="center"/>
    </xf>
    <xf numFmtId="4" fontId="6" fillId="0" borderId="1" xfId="0" applyNumberFormat="1" applyFont="1" applyBorder="1" applyAlignment="1">
      <alignment horizontal="center"/>
    </xf>
    <xf numFmtId="164" fontId="0" fillId="11" borderId="0" xfId="0" applyNumberFormat="1" applyFill="1" applyBorder="1" applyAlignment="1">
      <alignment horizontal="center"/>
    </xf>
    <xf numFmtId="49" fontId="0" fillId="11" borderId="0" xfId="0" applyNumberFormat="1" applyFill="1" applyBorder="1" applyAlignment="1">
      <alignment horizontal="center"/>
    </xf>
    <xf numFmtId="0" fontId="0" fillId="11" borderId="0" xfId="0" applyFill="1" applyBorder="1" applyAlignment="1">
      <alignment horizontal="left"/>
    </xf>
    <xf numFmtId="2" fontId="0" fillId="11" borderId="0" xfId="0" applyNumberFormat="1" applyFill="1" applyBorder="1" applyAlignment="1">
      <alignment horizontal="center"/>
    </xf>
    <xf numFmtId="0" fontId="0" fillId="8" borderId="23" xfId="0" applyFont="1" applyFill="1" applyBorder="1" applyAlignment="1">
      <alignment horizontal="left"/>
    </xf>
    <xf numFmtId="4" fontId="0" fillId="8" borderId="23" xfId="0" applyNumberFormat="1" applyFont="1" applyFill="1" applyBorder="1" applyAlignment="1">
      <alignment horizontal="center"/>
    </xf>
    <xf numFmtId="4" fontId="15" fillId="8" borderId="23" xfId="0" applyNumberFormat="1" applyFont="1" applyFill="1" applyBorder="1" applyAlignment="1">
      <alignment horizontal="center"/>
    </xf>
    <xf numFmtId="4" fontId="15" fillId="8" borderId="62" xfId="0" applyNumberFormat="1" applyFont="1" applyFill="1" applyBorder="1" applyAlignment="1">
      <alignment horizontal="center"/>
    </xf>
    <xf numFmtId="0" fontId="0" fillId="7" borderId="23" xfId="0" applyFont="1" applyFill="1" applyBorder="1" applyAlignment="1">
      <alignment horizontal="left"/>
    </xf>
    <xf numFmtId="14" fontId="0" fillId="7" borderId="23" xfId="0" applyNumberFormat="1" applyFont="1" applyFill="1" applyBorder="1" applyAlignment="1">
      <alignment horizontal="center"/>
    </xf>
    <xf numFmtId="4" fontId="0" fillId="7" borderId="23" xfId="0" applyNumberFormat="1" applyFont="1" applyFill="1" applyBorder="1" applyAlignment="1">
      <alignment horizontal="center"/>
    </xf>
    <xf numFmtId="4" fontId="15" fillId="7" borderId="23" xfId="0" applyNumberFormat="1" applyFont="1" applyFill="1" applyBorder="1" applyAlignment="1">
      <alignment horizontal="center"/>
    </xf>
    <xf numFmtId="4" fontId="15" fillId="7" borderId="62" xfId="0" applyNumberFormat="1" applyFont="1" applyFill="1" applyBorder="1" applyAlignment="1">
      <alignment horizontal="center"/>
    </xf>
    <xf numFmtId="4" fontId="0" fillId="7" borderId="62" xfId="0" applyNumberFormat="1" applyFont="1" applyFill="1" applyBorder="1" applyAlignment="1">
      <alignment horizontal="center"/>
    </xf>
    <xf numFmtId="4" fontId="0" fillId="8" borderId="62" xfId="0" applyNumberFormat="1" applyFont="1" applyFill="1" applyBorder="1" applyAlignment="1">
      <alignment horizontal="center"/>
    </xf>
    <xf numFmtId="4" fontId="6" fillId="7" borderId="23" xfId="0" applyNumberFormat="1" applyFont="1" applyFill="1" applyBorder="1" applyAlignment="1">
      <alignment horizontal="center"/>
    </xf>
    <xf numFmtId="4" fontId="6" fillId="7" borderId="62" xfId="0" applyNumberFormat="1" applyFont="1" applyFill="1" applyBorder="1" applyAlignment="1">
      <alignment horizontal="center"/>
    </xf>
    <xf numFmtId="4" fontId="2" fillId="9" borderId="63" xfId="0" applyNumberFormat="1" applyFont="1" applyFill="1" applyBorder="1" applyAlignment="1">
      <alignment horizontal="center"/>
    </xf>
    <xf numFmtId="14" fontId="27" fillId="3" borderId="59" xfId="0" applyNumberFormat="1" applyFont="1" applyFill="1" applyBorder="1" applyAlignment="1">
      <alignment horizontal="center"/>
    </xf>
    <xf numFmtId="14" fontId="27" fillId="3" borderId="64" xfId="0" applyNumberFormat="1" applyFont="1" applyFill="1" applyBorder="1" applyAlignment="1">
      <alignment horizontal="center"/>
    </xf>
    <xf numFmtId="49" fontId="0" fillId="9" borderId="62" xfId="0" applyNumberFormat="1" applyFont="1" applyFill="1" applyBorder="1" applyAlignment="1">
      <alignment horizontal="center"/>
    </xf>
    <xf numFmtId="4" fontId="1" fillId="7" borderId="23" xfId="0" applyNumberFormat="1" applyFont="1" applyFill="1" applyBorder="1" applyAlignment="1">
      <alignment horizontal="center"/>
    </xf>
    <xf numFmtId="4" fontId="1" fillId="7" borderId="62" xfId="0" applyNumberFormat="1" applyFont="1" applyFill="1" applyBorder="1" applyAlignment="1">
      <alignment horizontal="center"/>
    </xf>
    <xf numFmtId="4" fontId="1" fillId="7" borderId="65" xfId="0" applyNumberFormat="1" applyFont="1" applyFill="1" applyBorder="1" applyAlignment="1">
      <alignment horizontal="center"/>
    </xf>
    <xf numFmtId="49" fontId="0" fillId="9" borderId="66" xfId="0" applyNumberFormat="1" applyFont="1" applyFill="1" applyBorder="1" applyAlignment="1">
      <alignment horizontal="center"/>
    </xf>
    <xf numFmtId="0" fontId="0" fillId="9" borderId="63" xfId="0" applyFont="1" applyFill="1" applyBorder="1" applyAlignment="1">
      <alignment horizontal="left"/>
    </xf>
    <xf numFmtId="14" fontId="0" fillId="9" borderId="63" xfId="0" applyNumberFormat="1" applyFont="1" applyFill="1" applyBorder="1" applyAlignment="1">
      <alignment horizontal="center"/>
    </xf>
    <xf numFmtId="0" fontId="0" fillId="9" borderId="63" xfId="0" applyFont="1" applyFill="1" applyBorder="1" applyAlignment="1">
      <alignment horizontal="center"/>
    </xf>
    <xf numFmtId="49" fontId="0" fillId="8" borderId="67" xfId="0" applyNumberFormat="1" applyFont="1" applyFill="1" applyBorder="1" applyAlignment="1">
      <alignment horizontal="center"/>
    </xf>
    <xf numFmtId="49" fontId="0" fillId="7" borderId="67" xfId="0" applyNumberFormat="1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/>
    </xf>
    <xf numFmtId="4" fontId="1" fillId="8" borderId="59" xfId="0" applyNumberFormat="1" applyFont="1" applyFill="1" applyBorder="1" applyAlignment="1">
      <alignment horizontal="center"/>
    </xf>
    <xf numFmtId="4" fontId="1" fillId="8" borderId="64" xfId="0" applyNumberFormat="1" applyFont="1" applyFill="1" applyBorder="1" applyAlignment="1">
      <alignment horizontal="center"/>
    </xf>
    <xf numFmtId="4" fontId="0" fillId="8" borderId="59" xfId="0" applyNumberFormat="1" applyFont="1" applyFill="1" applyBorder="1" applyAlignment="1">
      <alignment horizontal="center"/>
    </xf>
    <xf numFmtId="4" fontId="0" fillId="8" borderId="68" xfId="0" applyNumberFormat="1" applyFont="1" applyFill="1" applyBorder="1" applyAlignment="1">
      <alignment horizontal="center"/>
    </xf>
    <xf numFmtId="0" fontId="0" fillId="7" borderId="59" xfId="0" applyFont="1" applyFill="1" applyBorder="1" applyAlignment="1">
      <alignment horizontal="left"/>
    </xf>
    <xf numFmtId="0" fontId="0" fillId="7" borderId="59" xfId="0" applyFont="1" applyFill="1" applyBorder="1" applyAlignment="1">
      <alignment horizontal="center"/>
    </xf>
    <xf numFmtId="0" fontId="0" fillId="7" borderId="0" xfId="0" applyFont="1" applyFill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2" fontId="19" fillId="0" borderId="1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/>
    </xf>
    <xf numFmtId="14" fontId="23" fillId="8" borderId="6" xfId="0" applyNumberFormat="1" applyFont="1" applyFill="1" applyBorder="1" applyAlignment="1">
      <alignment horizontal="center"/>
    </xf>
    <xf numFmtId="0" fontId="23" fillId="8" borderId="1" xfId="3" applyFont="1" applyFill="1" applyBorder="1" applyAlignment="1">
      <alignment horizontal="center"/>
    </xf>
    <xf numFmtId="0" fontId="23" fillId="8" borderId="1" xfId="0" applyFont="1" applyFill="1" applyBorder="1" applyAlignment="1">
      <alignment horizontal="center"/>
    </xf>
    <xf numFmtId="0" fontId="23" fillId="8" borderId="2" xfId="0" applyNumberFormat="1" applyFont="1" applyFill="1" applyBorder="1" applyAlignment="1">
      <alignment horizontal="center"/>
    </xf>
    <xf numFmtId="0" fontId="0" fillId="8" borderId="1" xfId="3" applyFont="1" applyFill="1" applyBorder="1"/>
    <xf numFmtId="0" fontId="23" fillId="8" borderId="22" xfId="0" applyFont="1" applyFill="1" applyBorder="1" applyAlignment="1">
      <alignment horizontal="center"/>
    </xf>
    <xf numFmtId="0" fontId="23" fillId="8" borderId="22" xfId="0" applyFont="1" applyFill="1" applyBorder="1"/>
    <xf numFmtId="164" fontId="0" fillId="8" borderId="23" xfId="0" applyNumberFormat="1" applyFont="1" applyFill="1" applyBorder="1" applyAlignment="1">
      <alignment horizontal="center"/>
    </xf>
    <xf numFmtId="164" fontId="0" fillId="7" borderId="23" xfId="0" applyNumberFormat="1" applyFont="1" applyFill="1" applyBorder="1" applyAlignment="1">
      <alignment horizontal="center"/>
    </xf>
    <xf numFmtId="0" fontId="5" fillId="3" borderId="69" xfId="0" applyFont="1" applyFill="1" applyBorder="1" applyAlignment="1">
      <alignment horizontal="center"/>
    </xf>
    <xf numFmtId="0" fontId="5" fillId="3" borderId="61" xfId="0" applyFont="1" applyFill="1" applyBorder="1" applyAlignment="1">
      <alignment horizontal="center"/>
    </xf>
    <xf numFmtId="49" fontId="0" fillId="8" borderId="62" xfId="0" applyNumberFormat="1" applyFont="1" applyFill="1" applyBorder="1" applyAlignment="1">
      <alignment horizontal="center"/>
    </xf>
    <xf numFmtId="49" fontId="0" fillId="7" borderId="62" xfId="0" applyNumberFormat="1" applyFont="1" applyFill="1" applyBorder="1" applyAlignment="1">
      <alignment horizontal="center"/>
    </xf>
    <xf numFmtId="4" fontId="6" fillId="8" borderId="23" xfId="0" applyNumberFormat="1" applyFont="1" applyFill="1" applyBorder="1" applyAlignment="1">
      <alignment horizontal="center"/>
    </xf>
    <xf numFmtId="164" fontId="28" fillId="16" borderId="3" xfId="0" applyNumberFormat="1" applyFont="1" applyFill="1" applyBorder="1" applyAlignment="1">
      <alignment horizontal="center"/>
    </xf>
    <xf numFmtId="164" fontId="28" fillId="16" borderId="71" xfId="0" applyNumberFormat="1" applyFont="1" applyFill="1" applyBorder="1" applyAlignment="1">
      <alignment horizontal="center"/>
    </xf>
    <xf numFmtId="4" fontId="6" fillId="8" borderId="70" xfId="0" applyNumberFormat="1" applyFont="1" applyFill="1" applyBorder="1" applyAlignment="1">
      <alignment horizontal="center"/>
    </xf>
    <xf numFmtId="4" fontId="6" fillId="7" borderId="70" xfId="0" applyNumberFormat="1" applyFont="1" applyFill="1" applyBorder="1" applyAlignment="1">
      <alignment horizontal="center"/>
    </xf>
    <xf numFmtId="49" fontId="0" fillId="8" borderId="66" xfId="0" applyNumberFormat="1" applyFont="1" applyFill="1" applyBorder="1" applyAlignment="1">
      <alignment horizontal="center"/>
    </xf>
    <xf numFmtId="0" fontId="0" fillId="8" borderId="63" xfId="0" applyFont="1" applyFill="1" applyBorder="1" applyAlignment="1">
      <alignment horizontal="left"/>
    </xf>
    <xf numFmtId="164" fontId="0" fillId="8" borderId="63" xfId="0" applyNumberFormat="1" applyFont="1" applyFill="1" applyBorder="1" applyAlignment="1">
      <alignment horizontal="center"/>
    </xf>
    <xf numFmtId="4" fontId="6" fillId="8" borderId="63" xfId="0" applyNumberFormat="1" applyFont="1" applyFill="1" applyBorder="1" applyAlignment="1">
      <alignment horizontal="center"/>
    </xf>
    <xf numFmtId="0" fontId="5" fillId="17" borderId="43" xfId="0" applyFont="1" applyFill="1" applyBorder="1" applyAlignment="1">
      <alignment horizontal="center"/>
    </xf>
    <xf numFmtId="49" fontId="5" fillId="17" borderId="72" xfId="0" applyNumberFormat="1" applyFont="1" applyFill="1" applyBorder="1" applyAlignment="1">
      <alignment horizontal="center"/>
    </xf>
    <xf numFmtId="164" fontId="0" fillId="18" borderId="16" xfId="0" applyNumberFormat="1" applyFill="1" applyBorder="1" applyAlignment="1">
      <alignment horizontal="center"/>
    </xf>
    <xf numFmtId="164" fontId="21" fillId="0" borderId="0" xfId="0" applyNumberFormat="1" applyFont="1" applyAlignment="1">
      <alignment horizontal="center"/>
    </xf>
    <xf numFmtId="0" fontId="23" fillId="8" borderId="14" xfId="0" applyFont="1" applyFill="1" applyBorder="1" applyAlignment="1">
      <alignment horizontal="center"/>
    </xf>
    <xf numFmtId="0" fontId="29" fillId="3" borderId="14" xfId="0" applyFont="1" applyFill="1" applyBorder="1" applyAlignment="1">
      <alignment horizontal="center"/>
    </xf>
    <xf numFmtId="14" fontId="9" fillId="0" borderId="0" xfId="0" applyNumberFormat="1" applyFont="1"/>
    <xf numFmtId="171" fontId="6" fillId="0" borderId="0" xfId="0" applyNumberFormat="1" applyFont="1" applyBorder="1"/>
    <xf numFmtId="171" fontId="30" fillId="0" borderId="0" xfId="0" applyNumberFormat="1" applyFont="1" applyBorder="1"/>
    <xf numFmtId="172" fontId="17" fillId="6" borderId="44" xfId="3" applyNumberFormat="1" applyFont="1" applyFill="1" applyBorder="1" applyAlignment="1">
      <alignment horizontal="center" vertical="center"/>
    </xf>
    <xf numFmtId="172" fontId="0" fillId="0" borderId="1" xfId="0" applyNumberFormat="1" applyBorder="1" applyAlignment="1">
      <alignment horizontal="center"/>
    </xf>
    <xf numFmtId="4" fontId="0" fillId="0" borderId="22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64" fontId="0" fillId="0" borderId="0" xfId="0" applyNumberFormat="1"/>
    <xf numFmtId="164" fontId="0" fillId="0" borderId="0" xfId="0" applyNumberFormat="1" applyBorder="1" applyAlignment="1">
      <alignment horizontal="center"/>
    </xf>
    <xf numFmtId="165" fontId="13" fillId="3" borderId="32" xfId="0" applyNumberFormat="1" applyFont="1" applyFill="1" applyBorder="1" applyAlignment="1">
      <alignment horizontal="centerContinuous" vertical="center"/>
    </xf>
    <xf numFmtId="165" fontId="13" fillId="3" borderId="34" xfId="0" applyNumberFormat="1" applyFont="1" applyFill="1" applyBorder="1" applyAlignment="1">
      <alignment horizontal="centerContinuous" vertical="center"/>
    </xf>
    <xf numFmtId="165" fontId="13" fillId="3" borderId="33" xfId="0" applyNumberFormat="1" applyFont="1" applyFill="1" applyBorder="1" applyAlignment="1">
      <alignment horizontal="centerContinuous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7" xfId="0" applyBorder="1"/>
    <xf numFmtId="0" fontId="0" fillId="0" borderId="12" xfId="0" applyBorder="1"/>
    <xf numFmtId="164" fontId="0" fillId="0" borderId="6" xfId="0" applyNumberFormat="1" applyBorder="1" applyAlignment="1">
      <alignment horizontal="center"/>
    </xf>
    <xf numFmtId="0" fontId="14" fillId="6" borderId="41" xfId="3" applyFont="1" applyFill="1" applyBorder="1" applyAlignment="1">
      <alignment horizontal="center" vertical="center"/>
    </xf>
    <xf numFmtId="0" fontId="14" fillId="6" borderId="74" xfId="3" applyFont="1" applyFill="1" applyBorder="1" applyAlignment="1">
      <alignment horizontal="center" vertical="center"/>
    </xf>
    <xf numFmtId="0" fontId="14" fillId="6" borderId="73" xfId="3" applyFont="1" applyFill="1" applyBorder="1" applyAlignment="1">
      <alignment horizontal="center" vertical="center"/>
    </xf>
    <xf numFmtId="0" fontId="30" fillId="0" borderId="0" xfId="0" applyFont="1" applyBorder="1" applyAlignment="1">
      <alignment horizontal="center"/>
    </xf>
    <xf numFmtId="0" fontId="30" fillId="0" borderId="0" xfId="0" applyFont="1"/>
    <xf numFmtId="0" fontId="0" fillId="0" borderId="1" xfId="0" applyBorder="1" applyAlignment="1">
      <alignment horizontal="center"/>
    </xf>
    <xf numFmtId="0" fontId="5" fillId="3" borderId="41" xfId="0" applyFont="1" applyFill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6" xfId="0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31" fillId="6" borderId="76" xfId="3" applyFont="1" applyFill="1" applyBorder="1" applyAlignment="1">
      <alignment horizontal="center"/>
    </xf>
    <xf numFmtId="0" fontId="31" fillId="6" borderId="69" xfId="3" applyFont="1" applyFill="1" applyBorder="1" applyAlignment="1">
      <alignment horizontal="centerContinuous" vertical="center"/>
    </xf>
    <xf numFmtId="0" fontId="31" fillId="6" borderId="27" xfId="3" applyFont="1" applyFill="1" applyBorder="1" applyAlignment="1">
      <alignment horizontal="centerContinuous" vertical="center"/>
    </xf>
    <xf numFmtId="49" fontId="14" fillId="6" borderId="3" xfId="3" applyNumberFormat="1" applyFont="1" applyFill="1" applyBorder="1" applyAlignment="1">
      <alignment horizontal="center"/>
    </xf>
    <xf numFmtId="0" fontId="9" fillId="0" borderId="4" xfId="0" applyFont="1" applyBorder="1"/>
    <xf numFmtId="0" fontId="0" fillId="0" borderId="2" xfId="0" applyBorder="1" applyAlignment="1">
      <alignment horizontal="center"/>
    </xf>
    <xf numFmtId="0" fontId="0" fillId="0" borderId="0" xfId="0" applyFont="1"/>
    <xf numFmtId="0" fontId="16" fillId="0" borderId="16" xfId="0" applyFont="1" applyBorder="1" applyAlignment="1">
      <alignment horizontal="right"/>
    </xf>
    <xf numFmtId="164" fontId="16" fillId="0" borderId="10" xfId="0" applyNumberFormat="1" applyFont="1" applyBorder="1" applyAlignment="1">
      <alignment horizontal="right"/>
    </xf>
    <xf numFmtId="0" fontId="0" fillId="0" borderId="16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77" xfId="0" applyFill="1" applyBorder="1" applyAlignment="1">
      <alignment horizontal="center"/>
    </xf>
    <xf numFmtId="0" fontId="9" fillId="0" borderId="1" xfId="0" applyFont="1" applyBorder="1" applyAlignment="1">
      <alignment horizontal="right"/>
    </xf>
    <xf numFmtId="0" fontId="20" fillId="0" borderId="17" xfId="0" applyNumberFormat="1" applyFont="1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2" fontId="6" fillId="0" borderId="16" xfId="0" applyNumberFormat="1" applyFont="1" applyBorder="1" applyAlignment="1">
      <alignment horizontal="center"/>
    </xf>
    <xf numFmtId="2" fontId="6" fillId="7" borderId="52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9" fillId="0" borderId="17" xfId="0" applyFont="1" applyBorder="1" applyAlignment="1">
      <alignment horizontal="center"/>
    </xf>
    <xf numFmtId="0" fontId="5" fillId="3" borderId="44" xfId="0" applyFont="1" applyFill="1" applyBorder="1" applyAlignment="1">
      <alignment horizontal="center"/>
    </xf>
    <xf numFmtId="0" fontId="31" fillId="6" borderId="72" xfId="3" applyFont="1" applyFill="1" applyBorder="1" applyAlignment="1">
      <alignment horizontal="centerContinuous" vertical="center"/>
    </xf>
    <xf numFmtId="0" fontId="31" fillId="6" borderId="74" xfId="3" applyFont="1" applyFill="1" applyBorder="1" applyAlignment="1">
      <alignment horizontal="centerContinuous" vertical="center"/>
    </xf>
    <xf numFmtId="172" fontId="17" fillId="6" borderId="61" xfId="3" applyNumberFormat="1" applyFont="1" applyFill="1" applyBorder="1" applyAlignment="1">
      <alignment horizontal="center" vertical="center"/>
    </xf>
    <xf numFmtId="164" fontId="0" fillId="0" borderId="14" xfId="0" applyNumberFormat="1" applyBorder="1" applyAlignment="1">
      <alignment horizontal="center"/>
    </xf>
    <xf numFmtId="0" fontId="17" fillId="6" borderId="77" xfId="3" applyFont="1" applyFill="1" applyBorder="1" applyAlignment="1">
      <alignment horizontal="center" vertical="distributed"/>
    </xf>
    <xf numFmtId="0" fontId="17" fillId="6" borderId="78" xfId="3" applyFont="1" applyFill="1" applyBorder="1" applyAlignment="1">
      <alignment horizontal="centerContinuous" vertical="distributed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165" fontId="7" fillId="19" borderId="32" xfId="0" applyNumberFormat="1" applyFont="1" applyFill="1" applyBorder="1" applyAlignment="1">
      <alignment horizontal="centerContinuous" vertical="center"/>
    </xf>
    <xf numFmtId="165" fontId="7" fillId="19" borderId="33" xfId="0" applyNumberFormat="1" applyFont="1" applyFill="1" applyBorder="1" applyAlignment="1">
      <alignment horizontal="centerContinuous" vertical="center"/>
    </xf>
    <xf numFmtId="165" fontId="1" fillId="19" borderId="16" xfId="0" applyNumberFormat="1" applyFont="1" applyFill="1" applyBorder="1" applyAlignment="1">
      <alignment horizontal="center"/>
    </xf>
    <xf numFmtId="0" fontId="1" fillId="19" borderId="17" xfId="0" applyFont="1" applyFill="1" applyBorder="1" applyAlignment="1">
      <alignment horizontal="center"/>
    </xf>
    <xf numFmtId="164" fontId="0" fillId="11" borderId="16" xfId="0" applyNumberFormat="1" applyFont="1" applyFill="1" applyBorder="1" applyAlignment="1">
      <alignment horizontal="center"/>
    </xf>
    <xf numFmtId="49" fontId="0" fillId="11" borderId="1" xfId="0" applyNumberFormat="1" applyFont="1" applyFill="1" applyBorder="1" applyAlignment="1">
      <alignment horizontal="center"/>
    </xf>
    <xf numFmtId="0" fontId="0" fillId="11" borderId="1" xfId="0" applyFont="1" applyFill="1" applyBorder="1" applyAlignment="1">
      <alignment horizontal="left"/>
    </xf>
    <xf numFmtId="2" fontId="0" fillId="11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164" fontId="19" fillId="0" borderId="17" xfId="0" applyNumberFormat="1" applyFont="1" applyBorder="1" applyAlignment="1">
      <alignment horizontal="center"/>
    </xf>
    <xf numFmtId="164" fontId="19" fillId="0" borderId="12" xfId="0" applyNumberFormat="1" applyFont="1" applyBorder="1" applyAlignment="1">
      <alignment horizontal="center"/>
    </xf>
    <xf numFmtId="165" fontId="32" fillId="3" borderId="17" xfId="0" applyNumberFormat="1" applyFont="1" applyFill="1" applyBorder="1" applyAlignment="1">
      <alignment horizontal="center" vertical="center"/>
    </xf>
    <xf numFmtId="165" fontId="13" fillId="3" borderId="34" xfId="0" applyNumberFormat="1" applyFont="1" applyFill="1" applyBorder="1" applyAlignment="1">
      <alignment horizontal="left" vertical="center"/>
    </xf>
    <xf numFmtId="2" fontId="13" fillId="3" borderId="33" xfId="0" applyNumberFormat="1" applyFont="1" applyFill="1" applyBorder="1" applyAlignment="1">
      <alignment horizontal="centerContinuous" vertic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49" fontId="12" fillId="0" borderId="77" xfId="0" applyNumberFormat="1" applyFont="1" applyBorder="1" applyAlignment="1">
      <alignment horizontal="center" vertical="center"/>
    </xf>
    <xf numFmtId="0" fontId="27" fillId="3" borderId="17" xfId="0" applyFont="1" applyFill="1" applyBorder="1" applyAlignment="1">
      <alignment horizontal="center"/>
    </xf>
    <xf numFmtId="165" fontId="5" fillId="3" borderId="79" xfId="0" applyNumberFormat="1" applyFont="1" applyFill="1" applyBorder="1" applyAlignment="1">
      <alignment horizontal="center"/>
    </xf>
    <xf numFmtId="0" fontId="5" fillId="3" borderId="47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64" fontId="19" fillId="0" borderId="1" xfId="0" applyNumberFormat="1" applyFont="1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66" xfId="0" applyBorder="1" applyAlignment="1">
      <alignment horizontal="center"/>
    </xf>
    <xf numFmtId="14" fontId="0" fillId="0" borderId="57" xfId="0" applyNumberFormat="1" applyBorder="1" applyAlignment="1">
      <alignment horizontal="center"/>
    </xf>
    <xf numFmtId="0" fontId="0" fillId="0" borderId="8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6" xfId="0" applyBorder="1" applyAlignment="1">
      <alignment horizontal="right"/>
    </xf>
    <xf numFmtId="0" fontId="0" fillId="0" borderId="24" xfId="0" applyBorder="1" applyAlignment="1">
      <alignment horizontal="right"/>
    </xf>
    <xf numFmtId="0" fontId="1" fillId="0" borderId="14" xfId="0" applyNumberFormat="1" applyFont="1" applyBorder="1" applyAlignment="1">
      <alignment horizontal="center"/>
    </xf>
    <xf numFmtId="0" fontId="1" fillId="0" borderId="43" xfId="0" applyNumberFormat="1" applyFont="1" applyBorder="1" applyAlignment="1">
      <alignment horizontal="center"/>
    </xf>
    <xf numFmtId="0" fontId="18" fillId="0" borderId="41" xfId="0" applyNumberFormat="1" applyFont="1" applyBorder="1" applyAlignment="1">
      <alignment horizontal="left" vertical="center"/>
    </xf>
    <xf numFmtId="0" fontId="0" fillId="0" borderId="0" xfId="0" pivotButton="1"/>
    <xf numFmtId="0" fontId="0" fillId="0" borderId="0" xfId="0" applyNumberFormat="1"/>
    <xf numFmtId="165" fontId="32" fillId="3" borderId="32" xfId="0" applyNumberFormat="1" applyFont="1" applyFill="1" applyBorder="1" applyAlignment="1">
      <alignment horizontal="left" vertical="center"/>
    </xf>
    <xf numFmtId="165" fontId="13" fillId="3" borderId="41" xfId="0" applyNumberFormat="1" applyFont="1" applyFill="1" applyBorder="1" applyAlignment="1">
      <alignment horizontal="centerContinuous"/>
    </xf>
    <xf numFmtId="165" fontId="13" fillId="3" borderId="42" xfId="0" applyNumberFormat="1" applyFont="1" applyFill="1" applyBorder="1" applyAlignment="1">
      <alignment horizontal="centerContinuous"/>
    </xf>
    <xf numFmtId="165" fontId="13" fillId="3" borderId="43" xfId="0" applyNumberFormat="1" applyFont="1" applyFill="1" applyBorder="1" applyAlignment="1">
      <alignment horizontal="centerContinuous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164" fontId="6" fillId="0" borderId="1" xfId="0" applyNumberFormat="1" applyFont="1" applyFill="1" applyBorder="1" applyAlignment="1">
      <alignment horizontal="center"/>
    </xf>
    <xf numFmtId="0" fontId="33" fillId="6" borderId="44" xfId="3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34" fillId="10" borderId="37" xfId="0" applyFont="1" applyFill="1" applyBorder="1" applyAlignment="1">
      <alignment horizontal="center"/>
    </xf>
    <xf numFmtId="14" fontId="16" fillId="10" borderId="82" xfId="0" applyNumberFormat="1" applyFont="1" applyFill="1" applyBorder="1" applyAlignment="1">
      <alignment horizontal="center"/>
    </xf>
    <xf numFmtId="49" fontId="16" fillId="10" borderId="55" xfId="0" applyNumberFormat="1" applyFont="1" applyFill="1" applyBorder="1" applyAlignment="1">
      <alignment horizontal="center"/>
    </xf>
    <xf numFmtId="0" fontId="34" fillId="10" borderId="55" xfId="0" applyFont="1" applyFill="1" applyBorder="1"/>
    <xf numFmtId="0" fontId="21" fillId="10" borderId="55" xfId="0" applyFont="1" applyFill="1" applyBorder="1" applyAlignment="1">
      <alignment horizontal="center"/>
    </xf>
    <xf numFmtId="0" fontId="34" fillId="10" borderId="81" xfId="0" applyFont="1" applyFill="1" applyBorder="1" applyAlignment="1">
      <alignment horizontal="center"/>
    </xf>
    <xf numFmtId="0" fontId="16" fillId="10" borderId="81" xfId="0" applyFont="1" applyFill="1" applyBorder="1" applyAlignment="1">
      <alignment horizontal="center"/>
    </xf>
    <xf numFmtId="0" fontId="0" fillId="10" borderId="81" xfId="0" applyFont="1" applyFill="1" applyBorder="1" applyAlignment="1">
      <alignment horizontal="center"/>
    </xf>
    <xf numFmtId="14" fontId="16" fillId="10" borderId="35" xfId="0" applyNumberFormat="1" applyFont="1" applyFill="1" applyBorder="1" applyAlignment="1">
      <alignment horizontal="center"/>
    </xf>
    <xf numFmtId="2" fontId="30" fillId="0" borderId="12" xfId="0" applyNumberFormat="1" applyFont="1" applyBorder="1" applyAlignment="1">
      <alignment horizontal="left"/>
    </xf>
    <xf numFmtId="0" fontId="1" fillId="0" borderId="0" xfId="0" applyFont="1"/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6" xfId="0" applyFont="1" applyBorder="1" applyAlignment="1">
      <alignment horizontal="left" wrapText="1" shrinkToFit="1"/>
    </xf>
    <xf numFmtId="0" fontId="1" fillId="0" borderId="1" xfId="0" applyFont="1" applyBorder="1" applyAlignment="1">
      <alignment horizontal="left" wrapText="1" shrinkToFit="1"/>
    </xf>
    <xf numFmtId="49" fontId="1" fillId="0" borderId="1" xfId="0" applyNumberFormat="1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1" xfId="0" applyFont="1" applyBorder="1" applyAlignment="1">
      <alignment horizontal="left" wrapText="1" shrinkToFit="1"/>
    </xf>
    <xf numFmtId="0" fontId="1" fillId="0" borderId="83" xfId="0" applyFont="1" applyBorder="1" applyAlignment="1">
      <alignment horizontal="center"/>
    </xf>
    <xf numFmtId="0" fontId="1" fillId="0" borderId="0" xfId="0" applyFont="1" applyBorder="1" applyAlignment="1">
      <alignment horizontal="left" wrapText="1" shrinkToFi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2" xfId="0" applyBorder="1" applyAlignment="1">
      <alignment horizontal="center"/>
    </xf>
    <xf numFmtId="0" fontId="1" fillId="0" borderId="0" xfId="0" applyFont="1" applyBorder="1" applyAlignment="1">
      <alignment horizontal="center"/>
    </xf>
    <xf numFmtId="2" fontId="0" fillId="0" borderId="22" xfId="0" applyNumberFormat="1" applyBorder="1" applyAlignment="1">
      <alignment horizontal="center"/>
    </xf>
    <xf numFmtId="172" fontId="0" fillId="0" borderId="22" xfId="0" applyNumberFormat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0" fontId="0" fillId="0" borderId="78" xfId="0" applyBorder="1" applyAlignment="1">
      <alignment horizontal="center"/>
    </xf>
    <xf numFmtId="172" fontId="0" fillId="0" borderId="78" xfId="0" applyNumberFormat="1" applyBorder="1" applyAlignment="1">
      <alignment horizontal="center"/>
    </xf>
    <xf numFmtId="2" fontId="0" fillId="0" borderId="78" xfId="0" applyNumberFormat="1" applyBorder="1" applyAlignment="1">
      <alignment horizontal="center"/>
    </xf>
    <xf numFmtId="164" fontId="0" fillId="20" borderId="16" xfId="0" applyNumberFormat="1" applyFill="1" applyBorder="1" applyAlignment="1">
      <alignment horizontal="center"/>
    </xf>
    <xf numFmtId="49" fontId="0" fillId="20" borderId="1" xfId="0" applyNumberFormat="1" applyFill="1" applyBorder="1" applyAlignment="1">
      <alignment horizontal="center"/>
    </xf>
    <xf numFmtId="0" fontId="0" fillId="20" borderId="1" xfId="0" applyFill="1" applyBorder="1" applyAlignment="1">
      <alignment horizontal="left"/>
    </xf>
    <xf numFmtId="2" fontId="0" fillId="20" borderId="1" xfId="0" applyNumberFormat="1" applyFill="1" applyBorder="1" applyAlignment="1">
      <alignment horizontal="center"/>
    </xf>
    <xf numFmtId="0" fontId="0" fillId="20" borderId="0" xfId="0" applyFill="1" applyAlignment="1">
      <alignment horizontal="center"/>
    </xf>
    <xf numFmtId="2" fontId="0" fillId="20" borderId="0" xfId="0" applyNumberFormat="1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49" fontId="0" fillId="2" borderId="0" xfId="0" applyNumberFormat="1" applyFont="1" applyFill="1" applyBorder="1" applyAlignment="1">
      <alignment horizontal="center"/>
    </xf>
    <xf numFmtId="0" fontId="0" fillId="2" borderId="0" xfId="0" applyFont="1" applyFill="1" applyBorder="1"/>
    <xf numFmtId="169" fontId="0" fillId="2" borderId="0" xfId="0" applyNumberFormat="1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49" fontId="0" fillId="0" borderId="0" xfId="0" applyNumberFormat="1" applyAlignment="1">
      <alignment horizontal="center"/>
    </xf>
    <xf numFmtId="14" fontId="0" fillId="0" borderId="2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6" xfId="0" applyFont="1" applyBorder="1" applyAlignment="1">
      <alignment horizontal="center"/>
    </xf>
  </cellXfs>
  <cellStyles count="4">
    <cellStyle name="40% - Énfasis1" xfId="3" builtinId="31"/>
    <cellStyle name="Entrada" xfId="2" builtinId="20"/>
    <cellStyle name="Normal" xfId="0" builtinId="0"/>
    <cellStyle name="Porcentaje" xfId="1" builtinId="5"/>
  </cellStyles>
  <dxfs count="216"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[$-1540A]dddd\,dd\-mmm\-yy;@"/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[$-1540A]dddd\,dd\-mmm\-yy;@"/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[$-1540A]dd\-mmm\-yy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[$-1540A]dd\-mmm\-yy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8" formatCode="[$-1540A]m/d/yyyy;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8" formatCode="[$-1540A]m/d/yyyy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169" formatCode="dd/mm/yyyy;@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59999389629810485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/m/yyyy"/>
      <fill>
        <patternFill patternType="solid">
          <fgColor theme="4" tint="0.59999389629810485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1540A]dd\-mmm\-yy;@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1540A]dd\-mmm\-yy;@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theme="4" tint="0.39997558519241921"/>
        </top>
        <bottom style="thin">
          <color indexed="64"/>
        </bottom>
      </border>
    </dxf>
    <dxf>
      <numFmt numFmtId="2" formatCode="0.00"/>
    </dxf>
    <dxf>
      <numFmt numFmtId="2" formatCode="0.00"/>
      <fill>
        <patternFill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[$-1540A]dd\-mmm\-yy;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-1540A]dd\-mmm\-yy;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[$-1540A]dd\-mmm\-yy;@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d/m/yyyy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[$-1540A]dd\-mmm\-yy;@"/>
      <fill>
        <patternFill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numFmt numFmtId="30" formatCode="@"/>
      <fill>
        <patternFill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ill>
        <patternFill>
          <bgColor theme="0"/>
        </patternFill>
      </fill>
    </dxf>
    <dxf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-1540A]dd\-mmm\-yy;@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theme="0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minor"/>
      </font>
      <numFmt numFmtId="19" formatCode="d/m/yyyy"/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</dxf>
    <dxf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solid">
          <fgColor theme="7" tint="0.79998168889431442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7"/>
        </left>
        <right/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7"/>
        </left>
        <right/>
        <top style="thin">
          <color theme="7"/>
        </top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theme="7" tint="0.79998168889431442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0" formatCode="@"/>
      <fill>
        <patternFill patternType="solid">
          <fgColor theme="7" tint="0.79998168889431442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9" formatCode="d/m/yyyy"/>
      <fill>
        <patternFill patternType="solid">
          <fgColor theme="7" tint="0.79998168889431442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border outline="0">
        <top style="thin">
          <color theme="7"/>
        </top>
      </border>
    </dxf>
    <dxf>
      <border outline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  <dxf>
      <border outline="0">
        <bottom style="medium">
          <color theme="7"/>
        </bottom>
      </border>
    </dxf>
    <dxf>
      <numFmt numFmtId="164" formatCode="[$-1540A]dd\-mmm\-yy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4" formatCode="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[$-1540A]dd\-mmm\-yy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[$-1540A]dd\-mmm\-yy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[$-1540A]dd\-mmm\-yy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[$-1540A]dd\-mmm\-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dd/mm/yyyy;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9" tint="-0.24994659260841701"/>
      </font>
    </dxf>
    <dxf>
      <font>
        <color rgb="FFFF000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1"/>
        </patternFill>
      </fill>
    </dxf>
    <dxf>
      <fill>
        <patternFill>
          <bgColor theme="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  <color theme="9" tint="-0.24994659260841701"/>
      </font>
    </dxf>
    <dxf>
      <font>
        <color rgb="FFFF0000"/>
      </font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17/06/relationships/rdRichValueTypes" Target="richData/rdRichValueTypes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VE"/>
              <a:t>Produccion</a:t>
            </a:r>
            <a:r>
              <a:rPr lang="es-VE" baseline="0"/>
              <a:t> de Leche</a:t>
            </a:r>
            <a:endParaRPr lang="es-V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title>
    <c:autoTitleDeleted val="0"/>
    <c:plotArea>
      <c:layout>
        <c:manualLayout>
          <c:layoutTarget val="inner"/>
          <c:xMode val="edge"/>
          <c:yMode val="edge"/>
          <c:x val="6.2899053976963812E-2"/>
          <c:y val="0.27625091954791675"/>
          <c:w val="0.92228386910313143"/>
          <c:h val="0.67421226115152633"/>
        </c:manualLayout>
      </c:layout>
      <c:lineChart>
        <c:grouping val="standard"/>
        <c:varyColors val="0"/>
        <c:ser>
          <c:idx val="0"/>
          <c:order val="0"/>
          <c:tx>
            <c:strRef>
              <c:f>Inicio!$N$27</c:f>
              <c:strCache>
                <c:ptCount val="1"/>
                <c:pt idx="0">
                  <c:v>Produccion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Inicio!$M$28:$N$67</c:f>
              <c:multiLvlStrCache>
                <c:ptCount val="40"/>
                <c:lvl>
                  <c:pt idx="0">
                    <c:v>1,40</c:v>
                  </c:pt>
                  <c:pt idx="1">
                    <c:v>0,00</c:v>
                  </c:pt>
                  <c:pt idx="2">
                    <c:v>0,00</c:v>
                  </c:pt>
                  <c:pt idx="3">
                    <c:v>6,29</c:v>
                  </c:pt>
                  <c:pt idx="4">
                    <c:v>5,33</c:v>
                  </c:pt>
                  <c:pt idx="5">
                    <c:v>4,17</c:v>
                  </c:pt>
                  <c:pt idx="6">
                    <c:v>4,20</c:v>
                  </c:pt>
                  <c:pt idx="7">
                    <c:v>4,42</c:v>
                  </c:pt>
                  <c:pt idx="8">
                    <c:v>4,01</c:v>
                  </c:pt>
                  <c:pt idx="9">
                    <c:v>3,87</c:v>
                  </c:pt>
                  <c:pt idx="10">
                    <c:v>2,27</c:v>
                  </c:pt>
                  <c:pt idx="11">
                    <c:v>2,91</c:v>
                  </c:pt>
                  <c:pt idx="12">
                    <c:v>4,04</c:v>
                  </c:pt>
                  <c:pt idx="13">
                    <c:v>3,52</c:v>
                  </c:pt>
                  <c:pt idx="14">
                    <c:v>3,97</c:v>
                  </c:pt>
                  <c:pt idx="15">
                    <c:v>4,02</c:v>
                  </c:pt>
                  <c:pt idx="16">
                    <c:v>3,95</c:v>
                  </c:pt>
                  <c:pt idx="17">
                    <c:v>3,59</c:v>
                  </c:pt>
                  <c:pt idx="18">
                    <c:v>2,55</c:v>
                  </c:pt>
                  <c:pt idx="19">
                    <c:v>2,55</c:v>
                  </c:pt>
                  <c:pt idx="20">
                    <c:v>1,24</c:v>
                  </c:pt>
                  <c:pt idx="21">
                    <c:v>1,45</c:v>
                  </c:pt>
                  <c:pt idx="22">
                    <c:v>0,00</c:v>
                  </c:pt>
                  <c:pt idx="23">
                    <c:v>0,00</c:v>
                  </c:pt>
                  <c:pt idx="24">
                    <c:v>4,27</c:v>
                  </c:pt>
                  <c:pt idx="25">
                    <c:v>3,41</c:v>
                  </c:pt>
                  <c:pt idx="26">
                    <c:v>3,96</c:v>
                  </c:pt>
                  <c:pt idx="27">
                    <c:v>4,04</c:v>
                  </c:pt>
                  <c:pt idx="28">
                    <c:v>3,80</c:v>
                  </c:pt>
                  <c:pt idx="29">
                    <c:v>4,11</c:v>
                  </c:pt>
                  <c:pt idx="30">
                    <c:v>4,03</c:v>
                  </c:pt>
                  <c:pt idx="31">
                    <c:v>2,61</c:v>
                  </c:pt>
                  <c:pt idx="32">
                    <c:v>3,15</c:v>
                  </c:pt>
                  <c:pt idx="33">
                    <c:v>3,17</c:v>
                  </c:pt>
                  <c:pt idx="34">
                    <c:v>3,20</c:v>
                  </c:pt>
                  <c:pt idx="35">
                    <c:v>3,35</c:v>
                  </c:pt>
                  <c:pt idx="36">
                    <c:v>4,06</c:v>
                  </c:pt>
                  <c:pt idx="37">
                    <c:v>3,18</c:v>
                  </c:pt>
                  <c:pt idx="38">
                    <c:v>3,25</c:v>
                  </c:pt>
                  <c:pt idx="39">
                    <c:v>2,08</c:v>
                  </c:pt>
                </c:lvl>
                <c:lvl>
                  <c:pt idx="0">
                    <c:v>21-ago-23</c:v>
                  </c:pt>
                  <c:pt idx="1">
                    <c:v>20-sep-23</c:v>
                  </c:pt>
                  <c:pt idx="2">
                    <c:v>20-oct-23</c:v>
                  </c:pt>
                  <c:pt idx="3">
                    <c:v>20-nov-23</c:v>
                  </c:pt>
                  <c:pt idx="4">
                    <c:v>20-dic-23</c:v>
                  </c:pt>
                  <c:pt idx="5">
                    <c:v>16-ene-24</c:v>
                  </c:pt>
                  <c:pt idx="6">
                    <c:v>31-ene-24</c:v>
                  </c:pt>
                  <c:pt idx="7">
                    <c:v>16-feb-24</c:v>
                  </c:pt>
                  <c:pt idx="8">
                    <c:v>01-mar-24</c:v>
                  </c:pt>
                  <c:pt idx="9">
                    <c:v>15-mar-24</c:v>
                  </c:pt>
                  <c:pt idx="10">
                    <c:v>01-abr-24</c:v>
                  </c:pt>
                  <c:pt idx="11">
                    <c:v>15-abr-24</c:v>
                  </c:pt>
                  <c:pt idx="12">
                    <c:v>30-abr-24</c:v>
                  </c:pt>
                  <c:pt idx="13">
                    <c:v>15-may-24</c:v>
                  </c:pt>
                  <c:pt idx="14">
                    <c:v>30-may-24</c:v>
                  </c:pt>
                  <c:pt idx="15">
                    <c:v>15-jun-24</c:v>
                  </c:pt>
                  <c:pt idx="16">
                    <c:v>30-jun-24</c:v>
                  </c:pt>
                  <c:pt idx="17">
                    <c:v>15-jul-24</c:v>
                  </c:pt>
                  <c:pt idx="18">
                    <c:v>31-jul-24</c:v>
                  </c:pt>
                  <c:pt idx="19">
                    <c:v>15-ago-24</c:v>
                  </c:pt>
                  <c:pt idx="20">
                    <c:v>31-ago-24</c:v>
                  </c:pt>
                  <c:pt idx="21">
                    <c:v>15-sep-24</c:v>
                  </c:pt>
                  <c:pt idx="22">
                    <c:v>30-sep-24</c:v>
                  </c:pt>
                  <c:pt idx="23">
                    <c:v>15-oct-24</c:v>
                  </c:pt>
                  <c:pt idx="24">
                    <c:v>30-oct-24</c:v>
                  </c:pt>
                  <c:pt idx="25">
                    <c:v>15-nov-24</c:v>
                  </c:pt>
                  <c:pt idx="26">
                    <c:v>30-nov-24</c:v>
                  </c:pt>
                  <c:pt idx="27">
                    <c:v>15-dic-24</c:v>
                  </c:pt>
                  <c:pt idx="28">
                    <c:v>30-dic-24</c:v>
                  </c:pt>
                  <c:pt idx="29">
                    <c:v>15-ene-25</c:v>
                  </c:pt>
                  <c:pt idx="30">
                    <c:v>30-ene-25</c:v>
                  </c:pt>
                  <c:pt idx="31">
                    <c:v>15-feb-25</c:v>
                  </c:pt>
                  <c:pt idx="32">
                    <c:v>01-mar-25</c:v>
                  </c:pt>
                  <c:pt idx="33">
                    <c:v>15-mar-25</c:v>
                  </c:pt>
                  <c:pt idx="34">
                    <c:v>30-mar-25</c:v>
                  </c:pt>
                  <c:pt idx="35">
                    <c:v>15-abr-25</c:v>
                  </c:pt>
                  <c:pt idx="36">
                    <c:v>29-abr-25</c:v>
                  </c:pt>
                  <c:pt idx="37">
                    <c:v>15-may-25</c:v>
                  </c:pt>
                  <c:pt idx="38">
                    <c:v>30-may-25</c:v>
                  </c:pt>
                  <c:pt idx="39">
                    <c:v>15-jun-25</c:v>
                  </c:pt>
                </c:lvl>
              </c:multiLvlStrCache>
            </c:multiLvlStrRef>
          </c:cat>
          <c:val>
            <c:numRef>
              <c:f>Inicio!$N$28:$N$67</c:f>
              <c:numCache>
                <c:formatCode>0.00</c:formatCode>
                <c:ptCount val="40"/>
                <c:pt idx="0">
                  <c:v>1.4</c:v>
                </c:pt>
                <c:pt idx="1">
                  <c:v>0</c:v>
                </c:pt>
                <c:pt idx="2">
                  <c:v>0</c:v>
                </c:pt>
                <c:pt idx="3">
                  <c:v>6.29</c:v>
                </c:pt>
                <c:pt idx="4">
                  <c:v>5.3250000000000002</c:v>
                </c:pt>
                <c:pt idx="5">
                  <c:v>4.17</c:v>
                </c:pt>
                <c:pt idx="6">
                  <c:v>4.2</c:v>
                </c:pt>
                <c:pt idx="7">
                  <c:v>4.42</c:v>
                </c:pt>
                <c:pt idx="8">
                  <c:v>4.0050000000000008</c:v>
                </c:pt>
                <c:pt idx="9">
                  <c:v>3.8650000000000002</c:v>
                </c:pt>
                <c:pt idx="10">
                  <c:v>2.27</c:v>
                </c:pt>
                <c:pt idx="11">
                  <c:v>2.9049999999999998</c:v>
                </c:pt>
                <c:pt idx="12">
                  <c:v>4.0350000000000001</c:v>
                </c:pt>
                <c:pt idx="13">
                  <c:v>3.5150000000000001</c:v>
                </c:pt>
                <c:pt idx="14">
                  <c:v>3.97</c:v>
                </c:pt>
                <c:pt idx="15">
                  <c:v>4.0199999999999996</c:v>
                </c:pt>
                <c:pt idx="16">
                  <c:v>3.95</c:v>
                </c:pt>
                <c:pt idx="17">
                  <c:v>3.585</c:v>
                </c:pt>
                <c:pt idx="18">
                  <c:v>2.5499999999999998</c:v>
                </c:pt>
                <c:pt idx="19">
                  <c:v>2.5499999999999998</c:v>
                </c:pt>
                <c:pt idx="20">
                  <c:v>1.24</c:v>
                </c:pt>
                <c:pt idx="21">
                  <c:v>1.45</c:v>
                </c:pt>
                <c:pt idx="22">
                  <c:v>0</c:v>
                </c:pt>
                <c:pt idx="23">
                  <c:v>0</c:v>
                </c:pt>
                <c:pt idx="24">
                  <c:v>4.2649999999999997</c:v>
                </c:pt>
                <c:pt idx="25">
                  <c:v>3.4049999999999998</c:v>
                </c:pt>
                <c:pt idx="26">
                  <c:v>3.96</c:v>
                </c:pt>
                <c:pt idx="27">
                  <c:v>4.0350000000000001</c:v>
                </c:pt>
                <c:pt idx="28">
                  <c:v>3.7949999999999999</c:v>
                </c:pt>
                <c:pt idx="29">
                  <c:v>4.1100000000000003</c:v>
                </c:pt>
                <c:pt idx="30">
                  <c:v>4.03</c:v>
                </c:pt>
                <c:pt idx="31">
                  <c:v>2.61</c:v>
                </c:pt>
                <c:pt idx="32">
                  <c:v>3.15</c:v>
                </c:pt>
                <c:pt idx="33">
                  <c:v>3.165</c:v>
                </c:pt>
                <c:pt idx="34">
                  <c:v>3.1949999999999998</c:v>
                </c:pt>
                <c:pt idx="35">
                  <c:v>3.3450000000000002</c:v>
                </c:pt>
                <c:pt idx="36">
                  <c:v>4.0549999999999997</c:v>
                </c:pt>
                <c:pt idx="37">
                  <c:v>3.1749999999999998</c:v>
                </c:pt>
                <c:pt idx="38">
                  <c:v>3.2450000000000001</c:v>
                </c:pt>
                <c:pt idx="39">
                  <c:v>2.0750000000000002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32-49BF-8F1C-AE738E0C1FE0}"/>
            </c:ext>
          </c:extLst>
        </c:ser>
        <c:ser>
          <c:idx val="1"/>
          <c:order val="1"/>
          <c:tx>
            <c:strRef>
              <c:f>Inicio!$N$27</c:f>
              <c:strCache>
                <c:ptCount val="1"/>
                <c:pt idx="0">
                  <c:v>Produccion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multiLvlStrRef>
              <c:f>Inicio!$M$28:$N$67</c:f>
              <c:multiLvlStrCache>
                <c:ptCount val="40"/>
                <c:lvl>
                  <c:pt idx="0">
                    <c:v>1,40</c:v>
                  </c:pt>
                  <c:pt idx="1">
                    <c:v>0,00</c:v>
                  </c:pt>
                  <c:pt idx="2">
                    <c:v>0,00</c:v>
                  </c:pt>
                  <c:pt idx="3">
                    <c:v>6,29</c:v>
                  </c:pt>
                  <c:pt idx="4">
                    <c:v>5,33</c:v>
                  </c:pt>
                  <c:pt idx="5">
                    <c:v>4,17</c:v>
                  </c:pt>
                  <c:pt idx="6">
                    <c:v>4,20</c:v>
                  </c:pt>
                  <c:pt idx="7">
                    <c:v>4,42</c:v>
                  </c:pt>
                  <c:pt idx="8">
                    <c:v>4,01</c:v>
                  </c:pt>
                  <c:pt idx="9">
                    <c:v>3,87</c:v>
                  </c:pt>
                  <c:pt idx="10">
                    <c:v>2,27</c:v>
                  </c:pt>
                  <c:pt idx="11">
                    <c:v>2,91</c:v>
                  </c:pt>
                  <c:pt idx="12">
                    <c:v>4,04</c:v>
                  </c:pt>
                  <c:pt idx="13">
                    <c:v>3,52</c:v>
                  </c:pt>
                  <c:pt idx="14">
                    <c:v>3,97</c:v>
                  </c:pt>
                  <c:pt idx="15">
                    <c:v>4,02</c:v>
                  </c:pt>
                  <c:pt idx="16">
                    <c:v>3,95</c:v>
                  </c:pt>
                  <c:pt idx="17">
                    <c:v>3,59</c:v>
                  </c:pt>
                  <c:pt idx="18">
                    <c:v>2,55</c:v>
                  </c:pt>
                  <c:pt idx="19">
                    <c:v>2,55</c:v>
                  </c:pt>
                  <c:pt idx="20">
                    <c:v>1,24</c:v>
                  </c:pt>
                  <c:pt idx="21">
                    <c:v>1,45</c:v>
                  </c:pt>
                  <c:pt idx="22">
                    <c:v>0,00</c:v>
                  </c:pt>
                  <c:pt idx="23">
                    <c:v>0,00</c:v>
                  </c:pt>
                  <c:pt idx="24">
                    <c:v>4,27</c:v>
                  </c:pt>
                  <c:pt idx="25">
                    <c:v>3,41</c:v>
                  </c:pt>
                  <c:pt idx="26">
                    <c:v>3,96</c:v>
                  </c:pt>
                  <c:pt idx="27">
                    <c:v>4,04</c:v>
                  </c:pt>
                  <c:pt idx="28">
                    <c:v>3,80</c:v>
                  </c:pt>
                  <c:pt idx="29">
                    <c:v>4,11</c:v>
                  </c:pt>
                  <c:pt idx="30">
                    <c:v>4,03</c:v>
                  </c:pt>
                  <c:pt idx="31">
                    <c:v>2,61</c:v>
                  </c:pt>
                  <c:pt idx="32">
                    <c:v>3,15</c:v>
                  </c:pt>
                  <c:pt idx="33">
                    <c:v>3,17</c:v>
                  </c:pt>
                  <c:pt idx="34">
                    <c:v>3,20</c:v>
                  </c:pt>
                  <c:pt idx="35">
                    <c:v>3,35</c:v>
                  </c:pt>
                  <c:pt idx="36">
                    <c:v>4,06</c:v>
                  </c:pt>
                  <c:pt idx="37">
                    <c:v>3,18</c:v>
                  </c:pt>
                  <c:pt idx="38">
                    <c:v>3,25</c:v>
                  </c:pt>
                  <c:pt idx="39">
                    <c:v>2,08</c:v>
                  </c:pt>
                </c:lvl>
                <c:lvl>
                  <c:pt idx="0">
                    <c:v>21-ago-23</c:v>
                  </c:pt>
                  <c:pt idx="1">
                    <c:v>20-sep-23</c:v>
                  </c:pt>
                  <c:pt idx="2">
                    <c:v>20-oct-23</c:v>
                  </c:pt>
                  <c:pt idx="3">
                    <c:v>20-nov-23</c:v>
                  </c:pt>
                  <c:pt idx="4">
                    <c:v>20-dic-23</c:v>
                  </c:pt>
                  <c:pt idx="5">
                    <c:v>16-ene-24</c:v>
                  </c:pt>
                  <c:pt idx="6">
                    <c:v>31-ene-24</c:v>
                  </c:pt>
                  <c:pt idx="7">
                    <c:v>16-feb-24</c:v>
                  </c:pt>
                  <c:pt idx="8">
                    <c:v>01-mar-24</c:v>
                  </c:pt>
                  <c:pt idx="9">
                    <c:v>15-mar-24</c:v>
                  </c:pt>
                  <c:pt idx="10">
                    <c:v>01-abr-24</c:v>
                  </c:pt>
                  <c:pt idx="11">
                    <c:v>15-abr-24</c:v>
                  </c:pt>
                  <c:pt idx="12">
                    <c:v>30-abr-24</c:v>
                  </c:pt>
                  <c:pt idx="13">
                    <c:v>15-may-24</c:v>
                  </c:pt>
                  <c:pt idx="14">
                    <c:v>30-may-24</c:v>
                  </c:pt>
                  <c:pt idx="15">
                    <c:v>15-jun-24</c:v>
                  </c:pt>
                  <c:pt idx="16">
                    <c:v>30-jun-24</c:v>
                  </c:pt>
                  <c:pt idx="17">
                    <c:v>15-jul-24</c:v>
                  </c:pt>
                  <c:pt idx="18">
                    <c:v>31-jul-24</c:v>
                  </c:pt>
                  <c:pt idx="19">
                    <c:v>15-ago-24</c:v>
                  </c:pt>
                  <c:pt idx="20">
                    <c:v>31-ago-24</c:v>
                  </c:pt>
                  <c:pt idx="21">
                    <c:v>15-sep-24</c:v>
                  </c:pt>
                  <c:pt idx="22">
                    <c:v>30-sep-24</c:v>
                  </c:pt>
                  <c:pt idx="23">
                    <c:v>15-oct-24</c:v>
                  </c:pt>
                  <c:pt idx="24">
                    <c:v>30-oct-24</c:v>
                  </c:pt>
                  <c:pt idx="25">
                    <c:v>15-nov-24</c:v>
                  </c:pt>
                  <c:pt idx="26">
                    <c:v>30-nov-24</c:v>
                  </c:pt>
                  <c:pt idx="27">
                    <c:v>15-dic-24</c:v>
                  </c:pt>
                  <c:pt idx="28">
                    <c:v>30-dic-24</c:v>
                  </c:pt>
                  <c:pt idx="29">
                    <c:v>15-ene-25</c:v>
                  </c:pt>
                  <c:pt idx="30">
                    <c:v>30-ene-25</c:v>
                  </c:pt>
                  <c:pt idx="31">
                    <c:v>15-feb-25</c:v>
                  </c:pt>
                  <c:pt idx="32">
                    <c:v>01-mar-25</c:v>
                  </c:pt>
                  <c:pt idx="33">
                    <c:v>15-mar-25</c:v>
                  </c:pt>
                  <c:pt idx="34">
                    <c:v>30-mar-25</c:v>
                  </c:pt>
                  <c:pt idx="35">
                    <c:v>15-abr-25</c:v>
                  </c:pt>
                  <c:pt idx="36">
                    <c:v>29-abr-25</c:v>
                  </c:pt>
                  <c:pt idx="37">
                    <c:v>15-may-25</c:v>
                  </c:pt>
                  <c:pt idx="38">
                    <c:v>30-may-25</c:v>
                  </c:pt>
                  <c:pt idx="39">
                    <c:v>15-jun-25</c:v>
                  </c:pt>
                </c:lvl>
              </c:multiLvlStrCache>
            </c:multiLvlStrRef>
          </c:cat>
          <c:val>
            <c:numRef>
              <c:f>Inicio!$N$28:$N$67</c:f>
              <c:numCache>
                <c:formatCode>0.00</c:formatCode>
                <c:ptCount val="40"/>
                <c:pt idx="0">
                  <c:v>1.4</c:v>
                </c:pt>
                <c:pt idx="1">
                  <c:v>0</c:v>
                </c:pt>
                <c:pt idx="2">
                  <c:v>0</c:v>
                </c:pt>
                <c:pt idx="3">
                  <c:v>6.29</c:v>
                </c:pt>
                <c:pt idx="4">
                  <c:v>5.3250000000000002</c:v>
                </c:pt>
                <c:pt idx="5">
                  <c:v>4.17</c:v>
                </c:pt>
                <c:pt idx="6">
                  <c:v>4.2</c:v>
                </c:pt>
                <c:pt idx="7">
                  <c:v>4.42</c:v>
                </c:pt>
                <c:pt idx="8">
                  <c:v>4.0050000000000008</c:v>
                </c:pt>
                <c:pt idx="9">
                  <c:v>3.8650000000000002</c:v>
                </c:pt>
                <c:pt idx="10">
                  <c:v>2.27</c:v>
                </c:pt>
                <c:pt idx="11">
                  <c:v>2.9049999999999998</c:v>
                </c:pt>
                <c:pt idx="12">
                  <c:v>4.0350000000000001</c:v>
                </c:pt>
                <c:pt idx="13">
                  <c:v>3.5150000000000001</c:v>
                </c:pt>
                <c:pt idx="14">
                  <c:v>3.97</c:v>
                </c:pt>
                <c:pt idx="15">
                  <c:v>4.0199999999999996</c:v>
                </c:pt>
                <c:pt idx="16">
                  <c:v>3.95</c:v>
                </c:pt>
                <c:pt idx="17">
                  <c:v>3.585</c:v>
                </c:pt>
                <c:pt idx="18">
                  <c:v>2.5499999999999998</c:v>
                </c:pt>
                <c:pt idx="19">
                  <c:v>2.5499999999999998</c:v>
                </c:pt>
                <c:pt idx="20">
                  <c:v>1.24</c:v>
                </c:pt>
                <c:pt idx="21">
                  <c:v>1.45</c:v>
                </c:pt>
                <c:pt idx="22">
                  <c:v>0</c:v>
                </c:pt>
                <c:pt idx="23">
                  <c:v>0</c:v>
                </c:pt>
                <c:pt idx="24">
                  <c:v>4.2649999999999997</c:v>
                </c:pt>
                <c:pt idx="25">
                  <c:v>3.4049999999999998</c:v>
                </c:pt>
                <c:pt idx="26">
                  <c:v>3.96</c:v>
                </c:pt>
                <c:pt idx="27">
                  <c:v>4.0350000000000001</c:v>
                </c:pt>
                <c:pt idx="28">
                  <c:v>3.7949999999999999</c:v>
                </c:pt>
                <c:pt idx="29">
                  <c:v>4.1100000000000003</c:v>
                </c:pt>
                <c:pt idx="30">
                  <c:v>4.03</c:v>
                </c:pt>
                <c:pt idx="31">
                  <c:v>2.61</c:v>
                </c:pt>
                <c:pt idx="32">
                  <c:v>3.15</c:v>
                </c:pt>
                <c:pt idx="33">
                  <c:v>3.165</c:v>
                </c:pt>
                <c:pt idx="34">
                  <c:v>3.1949999999999998</c:v>
                </c:pt>
                <c:pt idx="35">
                  <c:v>3.3450000000000002</c:v>
                </c:pt>
                <c:pt idx="36">
                  <c:v>4.0549999999999997</c:v>
                </c:pt>
                <c:pt idx="37">
                  <c:v>3.1749999999999998</c:v>
                </c:pt>
                <c:pt idx="38">
                  <c:v>3.2450000000000001</c:v>
                </c:pt>
                <c:pt idx="39">
                  <c:v>2.0750000000000002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532-49BF-8F1C-AE738E0C1FE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225288480"/>
        <c:axId val="1225285984"/>
      </c:lineChart>
      <c:catAx>
        <c:axId val="1225288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25285984"/>
        <c:crosses val="autoZero"/>
        <c:auto val="1"/>
        <c:lblAlgn val="ctr"/>
        <c:lblOffset val="100"/>
        <c:noMultiLvlLbl val="0"/>
      </c:catAx>
      <c:valAx>
        <c:axId val="122528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1225288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Simulacion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9C6-428F-822E-6D93DD5094A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9C6-428F-822E-6D93DD5094A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9C6-428F-822E-6D93DD5094A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9C6-428F-822E-6D93DD5094A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9C6-428F-822E-6D93DD5094A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9C6-428F-822E-6D93DD5094AA}"/>
              </c:ext>
            </c:extLst>
          </c:dPt>
          <c:cat>
            <c:strRef>
              <c:f>Queso!$K$124:$K$129</c:f>
              <c:strCache>
                <c:ptCount val="6"/>
                <c:pt idx="0">
                  <c:v>Nomina Finca</c:v>
                </c:pt>
                <c:pt idx="1">
                  <c:v>Gastos Finca</c:v>
                </c:pt>
                <c:pt idx="2">
                  <c:v>Alimento</c:v>
                </c:pt>
                <c:pt idx="3">
                  <c:v>Colegio</c:v>
                </c:pt>
                <c:pt idx="4">
                  <c:v>Condominio</c:v>
                </c:pt>
                <c:pt idx="5">
                  <c:v>Casa</c:v>
                </c:pt>
              </c:strCache>
            </c:strRef>
          </c:cat>
          <c:val>
            <c:numRef>
              <c:f>Queso!$L$124:$L$129</c:f>
              <c:numCache>
                <c:formatCode>0.00</c:formatCode>
                <c:ptCount val="6"/>
                <c:pt idx="0">
                  <c:v>15</c:v>
                </c:pt>
                <c:pt idx="1">
                  <c:v>15</c:v>
                </c:pt>
                <c:pt idx="2">
                  <c:v>46.071428571428569</c:v>
                </c:pt>
                <c:pt idx="3">
                  <c:v>5</c:v>
                </c:pt>
                <c:pt idx="4">
                  <c:v>5</c:v>
                </c:pt>
                <c:pt idx="5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1A-451D-872D-4ABAE40C667B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9C6-428F-822E-6D93DD5094A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9C6-428F-822E-6D93DD5094A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E9C6-428F-822E-6D93DD5094A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E9C6-428F-822E-6D93DD5094A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E9C6-428F-822E-6D93DD5094A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E9C6-428F-822E-6D93DD5094AA}"/>
              </c:ext>
            </c:extLst>
          </c:dPt>
          <c:cat>
            <c:strRef>
              <c:f>Queso!$K$124:$K$129</c:f>
              <c:strCache>
                <c:ptCount val="6"/>
                <c:pt idx="0">
                  <c:v>Nomina Finca</c:v>
                </c:pt>
                <c:pt idx="1">
                  <c:v>Gastos Finca</c:v>
                </c:pt>
                <c:pt idx="2">
                  <c:v>Alimento</c:v>
                </c:pt>
                <c:pt idx="3">
                  <c:v>Colegio</c:v>
                </c:pt>
                <c:pt idx="4">
                  <c:v>Condominio</c:v>
                </c:pt>
                <c:pt idx="5">
                  <c:v>Casa</c:v>
                </c:pt>
              </c:strCache>
            </c:strRef>
          </c:cat>
          <c:val>
            <c:numRef>
              <c:f>Queso!$M$124:$M$129</c:f>
              <c:numCache>
                <c:formatCode>0.00</c:formatCode>
                <c:ptCount val="6"/>
                <c:pt idx="0">
                  <c:v>105</c:v>
                </c:pt>
                <c:pt idx="1">
                  <c:v>100</c:v>
                </c:pt>
                <c:pt idx="2">
                  <c:v>322.5</c:v>
                </c:pt>
                <c:pt idx="3">
                  <c:v>35</c:v>
                </c:pt>
                <c:pt idx="4">
                  <c:v>35</c:v>
                </c:pt>
                <c:pt idx="5">
                  <c:v>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1A-451D-872D-4ABAE40C667B}"/>
            </c:ext>
          </c:extLst>
        </c:ser>
        <c:ser>
          <c:idx val="2"/>
          <c:order val="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E9C6-428F-822E-6D93DD5094A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E9C6-428F-822E-6D93DD5094A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E9C6-428F-822E-6D93DD5094A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E9C6-428F-822E-6D93DD5094A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E9C6-428F-822E-6D93DD5094A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E9C6-428F-822E-6D93DD5094AA}"/>
              </c:ext>
            </c:extLst>
          </c:dPt>
          <c:cat>
            <c:strRef>
              <c:f>Queso!$K$124:$K$129</c:f>
              <c:strCache>
                <c:ptCount val="6"/>
                <c:pt idx="0">
                  <c:v>Nomina Finca</c:v>
                </c:pt>
                <c:pt idx="1">
                  <c:v>Gastos Finca</c:v>
                </c:pt>
                <c:pt idx="2">
                  <c:v>Alimento</c:v>
                </c:pt>
                <c:pt idx="3">
                  <c:v>Colegio</c:v>
                </c:pt>
                <c:pt idx="4">
                  <c:v>Condominio</c:v>
                </c:pt>
                <c:pt idx="5">
                  <c:v>Casa</c:v>
                </c:pt>
              </c:strCache>
            </c:strRef>
          </c:cat>
          <c:val>
            <c:numRef>
              <c:f>Queso!$N$124:$N$129</c:f>
              <c:numCache>
                <c:formatCode>0.00</c:formatCode>
                <c:ptCount val="6"/>
                <c:pt idx="0">
                  <c:v>450</c:v>
                </c:pt>
                <c:pt idx="1">
                  <c:v>450</c:v>
                </c:pt>
                <c:pt idx="2">
                  <c:v>1382.1428571428571</c:v>
                </c:pt>
                <c:pt idx="3">
                  <c:v>150</c:v>
                </c:pt>
                <c:pt idx="4">
                  <c:v>150</c:v>
                </c:pt>
                <c:pt idx="5">
                  <c:v>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1A-451D-872D-4ABAE40C6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9600994024683083"/>
          <c:y val="7.5572274113509086E-2"/>
          <c:w val="0.26400820908024797"/>
          <c:h val="0.89743717258014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66454</xdr:colOff>
      <xdr:row>57</xdr:row>
      <xdr:rowOff>154963</xdr:rowOff>
    </xdr:from>
    <xdr:to>
      <xdr:col>11</xdr:col>
      <xdr:colOff>221511</xdr:colOff>
      <xdr:row>67</xdr:row>
      <xdr:rowOff>121832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0F29488-7CB3-4D74-8BCB-F1C8412B12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276225</xdr:colOff>
      <xdr:row>0</xdr:row>
      <xdr:rowOff>142875</xdr:rowOff>
    </xdr:from>
    <xdr:to>
      <xdr:col>7</xdr:col>
      <xdr:colOff>562759</xdr:colOff>
      <xdr:row>26</xdr:row>
      <xdr:rowOff>48303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BDBD0BD-E57E-4F22-82DA-76D57AB2D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42875"/>
          <a:ext cx="5287159" cy="4858428"/>
        </a:xfrm>
        <a:prstGeom prst="rect">
          <a:avLst/>
        </a:prstGeom>
      </xdr:spPr>
    </xdr:pic>
    <xdr:clientData/>
  </xdr:twoCellAnchor>
  <xdr:twoCellAnchor editAs="oneCell">
    <xdr:from>
      <xdr:col>8</xdr:col>
      <xdr:colOff>257176</xdr:colOff>
      <xdr:row>1</xdr:row>
      <xdr:rowOff>0</xdr:rowOff>
    </xdr:from>
    <xdr:to>
      <xdr:col>14</xdr:col>
      <xdr:colOff>619125</xdr:colOff>
      <xdr:row>25</xdr:row>
      <xdr:rowOff>167893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4856394-3003-4A46-A09B-A656263F2D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72176" y="190500"/>
          <a:ext cx="4648199" cy="47398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95249</xdr:colOff>
      <xdr:row>104</xdr:row>
      <xdr:rowOff>161925</xdr:rowOff>
    </xdr:from>
    <xdr:to>
      <xdr:col>21</xdr:col>
      <xdr:colOff>533399</xdr:colOff>
      <xdr:row>116</xdr:row>
      <xdr:rowOff>114300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9A894A4-641A-4FFB-82A0-23E217AAA7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5754.372897106485" createdVersion="7" refreshedVersion="7" minRefreshableVersion="3" recordCount="503" xr:uid="{88C9ADFD-95F5-4DF2-9EAC-40B2667D0092}">
  <cacheSource type="worksheet">
    <worksheetSource name="Pesadas"/>
  </cacheSource>
  <cacheFields count="6">
    <cacheField name="Fecha" numFmtId="164">
      <sharedItems containsSemiMixedTypes="0" containsNonDate="0" containsDate="1" containsString="0" minDate="2023-08-21T00:00:00" maxDate="2025-03-31T00:00:00" count="35">
        <d v="2023-08-21T00:00:00"/>
        <d v="2023-09-20T00:00:00"/>
        <d v="2023-10-20T00:00:00"/>
        <d v="2023-11-20T00:00:00"/>
        <d v="2023-12-20T00:00:00"/>
        <d v="2024-01-16T00:00:00"/>
        <d v="2024-01-31T00:00:00"/>
        <d v="2024-02-16T00:00:00"/>
        <d v="2024-03-01T00:00:00"/>
        <d v="2024-03-15T00:00:00"/>
        <d v="2024-04-01T00:00:00"/>
        <d v="2024-04-15T00:00:00"/>
        <d v="2024-04-30T00:00:00"/>
        <d v="2024-05-15T00:00:00"/>
        <d v="2024-05-30T00:00:00"/>
        <d v="2024-06-15T00:00:00"/>
        <d v="2024-06-30T00:00:00"/>
        <d v="2024-07-15T00:00:00"/>
        <d v="2024-07-31T00:00:00"/>
        <d v="2024-08-15T00:00:00"/>
        <d v="2024-08-31T00:00:00"/>
        <d v="2024-09-15T00:00:00"/>
        <d v="2024-09-30T00:00:00"/>
        <d v="2024-10-15T00:00:00"/>
        <d v="2024-10-30T00:00:00"/>
        <d v="2024-11-15T00:00:00"/>
        <d v="2024-11-30T00:00:00"/>
        <d v="2024-12-15T00:00:00"/>
        <d v="2024-12-30T00:00:00"/>
        <d v="2025-01-15T00:00:00"/>
        <d v="2025-01-30T00:00:00"/>
        <d v="2025-02-15T00:00:00"/>
        <d v="2025-03-01T00:00:00"/>
        <d v="2025-03-15T00:00:00"/>
        <d v="2025-03-30T00:00:00"/>
      </sharedItems>
      <fieldGroup par="5" base="0">
        <rangePr groupBy="months" startDate="2023-08-21T00:00:00" endDate="2025-03-31T00:00:00"/>
        <groupItems count="14">
          <s v="&lt;21/8/2023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31/3/2025"/>
        </groupItems>
      </fieldGroup>
    </cacheField>
    <cacheField name="Numero" numFmtId="49">
      <sharedItems count="21">
        <s v="15701"/>
        <s v="97"/>
        <s v="18002"/>
        <s v="184585"/>
        <s v="183864"/>
        <s v="184584"/>
        <s v="15801"/>
        <s v="15200"/>
        <s v="15106"/>
        <s v="70"/>
        <s v="5114"/>
        <s v="1650"/>
        <s v="6001"/>
        <s v="96"/>
        <s v="599"/>
        <s v="020194"/>
        <s v="020193"/>
        <s v="18004"/>
        <s v="20010"/>
        <s v="20011"/>
        <s v="Y001"/>
      </sharedItems>
    </cacheField>
    <cacheField name="Nombre" numFmtId="0">
      <sharedItems count="21">
        <s v="OJOS NEGROS"/>
        <s v="LA NEGRA"/>
        <s v="ESPERANZA"/>
        <s v="TRANCO LARGO"/>
        <s v="VENAITA"/>
        <s v="PARDA"/>
        <s v="ORIANA"/>
        <s v="GACHA"/>
        <s v="YEGUA"/>
        <s v="CONEJA"/>
        <s v="LUNA"/>
        <s v="MARIANA"/>
        <s v="ESTRELLA"/>
        <s v="MORENA"/>
        <s v="TONCHA"/>
        <s v="YOLIMAR"/>
        <s v="Maria Jose"/>
        <s v="LA YEGUA"/>
        <s v="Carapachita"/>
        <s v="Blanquita"/>
        <s v="Patanemo"/>
      </sharedItems>
    </cacheField>
    <cacheField name="Kg" numFmtId="0">
      <sharedItems containsSemiMixedTypes="0" containsString="0" containsNumber="1" minValue="0" maxValue="11.135"/>
    </cacheField>
    <cacheField name="Trimestres" numFmtId="0" databaseField="0">
      <fieldGroup base="0">
        <rangePr groupBy="quarters" startDate="2023-08-21T00:00:00" endDate="2025-03-31T00:00:00"/>
        <groupItems count="6">
          <s v="&lt;21/8/2023"/>
          <s v="Trim.1"/>
          <s v="Trim.2"/>
          <s v="Trim.3"/>
          <s v="Trim.4"/>
          <s v="&gt;31/3/2025"/>
        </groupItems>
      </fieldGroup>
    </cacheField>
    <cacheField name="Años" numFmtId="0" databaseField="0">
      <fieldGroup base="0">
        <rangePr groupBy="years" startDate="2023-08-21T00:00:00" endDate="2025-03-31T00:00:00"/>
        <groupItems count="5">
          <s v="&lt;21/8/2023"/>
          <s v="2023"/>
          <s v="2024"/>
          <s v="2025"/>
          <s v="&gt;31/3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3">
  <r>
    <x v="0"/>
    <x v="0"/>
    <x v="0"/>
    <n v="2.2000000000000002"/>
  </r>
  <r>
    <x v="0"/>
    <x v="1"/>
    <x v="1"/>
    <n v="1.5"/>
  </r>
  <r>
    <x v="0"/>
    <x v="2"/>
    <x v="2"/>
    <n v="3.7"/>
  </r>
  <r>
    <x v="0"/>
    <x v="3"/>
    <x v="3"/>
    <n v="1.4"/>
  </r>
  <r>
    <x v="0"/>
    <x v="4"/>
    <x v="4"/>
    <n v="0.8"/>
  </r>
  <r>
    <x v="0"/>
    <x v="5"/>
    <x v="5"/>
    <n v="2"/>
  </r>
  <r>
    <x v="0"/>
    <x v="6"/>
    <x v="6"/>
    <n v="3.9"/>
  </r>
  <r>
    <x v="0"/>
    <x v="7"/>
    <x v="7"/>
    <n v="3.5"/>
  </r>
  <r>
    <x v="0"/>
    <x v="8"/>
    <x v="8"/>
    <n v="3.3"/>
  </r>
  <r>
    <x v="0"/>
    <x v="9"/>
    <x v="9"/>
    <n v="3"/>
  </r>
  <r>
    <x v="0"/>
    <x v="10"/>
    <x v="10"/>
    <n v="4.8"/>
  </r>
  <r>
    <x v="0"/>
    <x v="11"/>
    <x v="11"/>
    <n v="9.1999999999999993"/>
  </r>
  <r>
    <x v="0"/>
    <x v="12"/>
    <x v="12"/>
    <n v="7"/>
  </r>
  <r>
    <x v="0"/>
    <x v="13"/>
    <x v="13"/>
    <n v="7"/>
  </r>
  <r>
    <x v="0"/>
    <x v="14"/>
    <x v="14"/>
    <n v="4.5999999999999996"/>
  </r>
  <r>
    <x v="0"/>
    <x v="15"/>
    <x v="15"/>
    <n v="3.3"/>
  </r>
  <r>
    <x v="1"/>
    <x v="0"/>
    <x v="0"/>
    <n v="0"/>
  </r>
  <r>
    <x v="1"/>
    <x v="1"/>
    <x v="1"/>
    <n v="0"/>
  </r>
  <r>
    <x v="1"/>
    <x v="3"/>
    <x v="3"/>
    <n v="0"/>
  </r>
  <r>
    <x v="1"/>
    <x v="4"/>
    <x v="4"/>
    <n v="0.55499999999999994"/>
  </r>
  <r>
    <x v="1"/>
    <x v="5"/>
    <x v="5"/>
    <n v="1.7749999999999999"/>
  </r>
  <r>
    <x v="1"/>
    <x v="6"/>
    <x v="6"/>
    <n v="4.165"/>
  </r>
  <r>
    <x v="1"/>
    <x v="7"/>
    <x v="7"/>
    <n v="3.9249999999999998"/>
  </r>
  <r>
    <x v="1"/>
    <x v="8"/>
    <x v="8"/>
    <n v="2.83"/>
  </r>
  <r>
    <x v="1"/>
    <x v="9"/>
    <x v="9"/>
    <n v="2.7349999999999999"/>
  </r>
  <r>
    <x v="1"/>
    <x v="10"/>
    <x v="10"/>
    <n v="4.335"/>
  </r>
  <r>
    <x v="1"/>
    <x v="11"/>
    <x v="11"/>
    <n v="9.1050000000000004"/>
  </r>
  <r>
    <x v="1"/>
    <x v="12"/>
    <x v="12"/>
    <n v="5.86"/>
  </r>
  <r>
    <x v="1"/>
    <x v="13"/>
    <x v="13"/>
    <n v="6.6"/>
  </r>
  <r>
    <x v="1"/>
    <x v="14"/>
    <x v="14"/>
    <n v="3.3849999999999998"/>
  </r>
  <r>
    <x v="1"/>
    <x v="15"/>
    <x v="15"/>
    <n v="4.29"/>
  </r>
  <r>
    <x v="2"/>
    <x v="0"/>
    <x v="0"/>
    <n v="0"/>
  </r>
  <r>
    <x v="2"/>
    <x v="1"/>
    <x v="1"/>
    <n v="0"/>
  </r>
  <r>
    <x v="2"/>
    <x v="2"/>
    <x v="2"/>
    <n v="2.6549999999999998"/>
  </r>
  <r>
    <x v="2"/>
    <x v="3"/>
    <x v="3"/>
    <n v="0"/>
  </r>
  <r>
    <x v="2"/>
    <x v="4"/>
    <x v="4"/>
    <n v="0"/>
  </r>
  <r>
    <x v="2"/>
    <x v="5"/>
    <x v="5"/>
    <n v="0"/>
  </r>
  <r>
    <x v="2"/>
    <x v="6"/>
    <x v="6"/>
    <n v="1.3149999999999999"/>
  </r>
  <r>
    <x v="2"/>
    <x v="7"/>
    <x v="7"/>
    <n v="0"/>
  </r>
  <r>
    <x v="2"/>
    <x v="8"/>
    <x v="8"/>
    <n v="1.115"/>
  </r>
  <r>
    <x v="2"/>
    <x v="9"/>
    <x v="9"/>
    <n v="2.2639999999999998"/>
  </r>
  <r>
    <x v="2"/>
    <x v="10"/>
    <x v="10"/>
    <n v="4.4550000000000001"/>
  </r>
  <r>
    <x v="2"/>
    <x v="11"/>
    <x v="11"/>
    <n v="9.23"/>
  </r>
  <r>
    <x v="2"/>
    <x v="12"/>
    <x v="12"/>
    <n v="7"/>
  </r>
  <r>
    <x v="2"/>
    <x v="13"/>
    <x v="13"/>
    <n v="7.16"/>
  </r>
  <r>
    <x v="2"/>
    <x v="14"/>
    <x v="14"/>
    <n v="3.4"/>
  </r>
  <r>
    <x v="2"/>
    <x v="15"/>
    <x v="15"/>
    <n v="4.5149999999999997"/>
  </r>
  <r>
    <x v="3"/>
    <x v="11"/>
    <x v="11"/>
    <n v="6.75"/>
  </r>
  <r>
    <x v="3"/>
    <x v="13"/>
    <x v="13"/>
    <n v="4.96"/>
  </r>
  <r>
    <x v="3"/>
    <x v="12"/>
    <x v="12"/>
    <n v="4.9000000000000004"/>
  </r>
  <r>
    <x v="3"/>
    <x v="15"/>
    <x v="15"/>
    <n v="3.43"/>
  </r>
  <r>
    <x v="3"/>
    <x v="10"/>
    <x v="10"/>
    <n v="2.02"/>
  </r>
  <r>
    <x v="3"/>
    <x v="14"/>
    <x v="14"/>
    <n v="1.72"/>
  </r>
  <r>
    <x v="3"/>
    <x v="2"/>
    <x v="2"/>
    <n v="3.68"/>
  </r>
  <r>
    <x v="3"/>
    <x v="9"/>
    <x v="9"/>
    <n v="0"/>
  </r>
  <r>
    <x v="3"/>
    <x v="6"/>
    <x v="6"/>
    <n v="0"/>
  </r>
  <r>
    <x v="3"/>
    <x v="8"/>
    <x v="8"/>
    <n v="0"/>
  </r>
  <r>
    <x v="3"/>
    <x v="0"/>
    <x v="0"/>
    <n v="0"/>
  </r>
  <r>
    <x v="3"/>
    <x v="1"/>
    <x v="1"/>
    <n v="7.22"/>
  </r>
  <r>
    <x v="3"/>
    <x v="3"/>
    <x v="3"/>
    <n v="6.29"/>
  </r>
  <r>
    <x v="3"/>
    <x v="4"/>
    <x v="4"/>
    <n v="0"/>
  </r>
  <r>
    <x v="3"/>
    <x v="5"/>
    <x v="5"/>
    <n v="0"/>
  </r>
  <r>
    <x v="3"/>
    <x v="7"/>
    <x v="7"/>
    <n v="0"/>
  </r>
  <r>
    <x v="3"/>
    <x v="16"/>
    <x v="16"/>
    <n v="6.15"/>
  </r>
  <r>
    <x v="4"/>
    <x v="0"/>
    <x v="0"/>
    <n v="0"/>
  </r>
  <r>
    <x v="4"/>
    <x v="1"/>
    <x v="1"/>
    <n v="6.5049999999999999"/>
  </r>
  <r>
    <x v="4"/>
    <x v="17"/>
    <x v="2"/>
    <n v="4.33"/>
  </r>
  <r>
    <x v="4"/>
    <x v="3"/>
    <x v="3"/>
    <n v="5.3250000000000002"/>
  </r>
  <r>
    <x v="4"/>
    <x v="4"/>
    <x v="4"/>
    <n v="0"/>
  </r>
  <r>
    <x v="4"/>
    <x v="5"/>
    <x v="5"/>
    <n v="0"/>
  </r>
  <r>
    <x v="4"/>
    <x v="6"/>
    <x v="6"/>
    <n v="0"/>
  </r>
  <r>
    <x v="4"/>
    <x v="8"/>
    <x v="8"/>
    <n v="6.2350000000000003"/>
  </r>
  <r>
    <x v="4"/>
    <x v="9"/>
    <x v="9"/>
    <n v="0"/>
  </r>
  <r>
    <x v="4"/>
    <x v="10"/>
    <x v="10"/>
    <n v="0"/>
  </r>
  <r>
    <x v="4"/>
    <x v="11"/>
    <x v="11"/>
    <n v="5.87"/>
  </r>
  <r>
    <x v="4"/>
    <x v="13"/>
    <x v="13"/>
    <n v="4.4400000000000004"/>
  </r>
  <r>
    <x v="4"/>
    <x v="15"/>
    <x v="15"/>
    <n v="2.97"/>
  </r>
  <r>
    <x v="4"/>
    <x v="16"/>
    <x v="16"/>
    <n v="5.5"/>
  </r>
  <r>
    <x v="5"/>
    <x v="0"/>
    <x v="0"/>
    <n v="5.08"/>
  </r>
  <r>
    <x v="5"/>
    <x v="1"/>
    <x v="1"/>
    <n v="8.1999999999999993"/>
  </r>
  <r>
    <x v="5"/>
    <x v="17"/>
    <x v="2"/>
    <n v="5.58"/>
  </r>
  <r>
    <x v="5"/>
    <x v="3"/>
    <x v="3"/>
    <n v="4.17"/>
  </r>
  <r>
    <x v="5"/>
    <x v="4"/>
    <x v="4"/>
    <n v="5.87"/>
  </r>
  <r>
    <x v="5"/>
    <x v="5"/>
    <x v="5"/>
    <n v="0"/>
  </r>
  <r>
    <x v="5"/>
    <x v="6"/>
    <x v="6"/>
    <n v="0"/>
  </r>
  <r>
    <x v="5"/>
    <x v="7"/>
    <x v="7"/>
    <n v="0"/>
  </r>
  <r>
    <x v="5"/>
    <x v="8"/>
    <x v="8"/>
    <n v="5.96"/>
  </r>
  <r>
    <x v="5"/>
    <x v="9"/>
    <x v="9"/>
    <n v="0"/>
  </r>
  <r>
    <x v="5"/>
    <x v="10"/>
    <x v="10"/>
    <n v="0"/>
  </r>
  <r>
    <x v="5"/>
    <x v="11"/>
    <x v="11"/>
    <n v="7.44"/>
  </r>
  <r>
    <x v="5"/>
    <x v="12"/>
    <x v="12"/>
    <n v="0"/>
  </r>
  <r>
    <x v="5"/>
    <x v="13"/>
    <x v="13"/>
    <n v="6.37"/>
  </r>
  <r>
    <x v="5"/>
    <x v="14"/>
    <x v="14"/>
    <n v="0"/>
  </r>
  <r>
    <x v="5"/>
    <x v="15"/>
    <x v="15"/>
    <n v="4.04"/>
  </r>
  <r>
    <x v="5"/>
    <x v="16"/>
    <x v="16"/>
    <n v="5.35"/>
  </r>
  <r>
    <x v="6"/>
    <x v="0"/>
    <x v="0"/>
    <n v="5.75"/>
  </r>
  <r>
    <x v="6"/>
    <x v="1"/>
    <x v="1"/>
    <n v="6.36"/>
  </r>
  <r>
    <x v="6"/>
    <x v="17"/>
    <x v="2"/>
    <n v="4.8550000000000004"/>
  </r>
  <r>
    <x v="6"/>
    <x v="3"/>
    <x v="3"/>
    <n v="4.2"/>
  </r>
  <r>
    <x v="6"/>
    <x v="4"/>
    <x v="4"/>
    <n v="5.5650000000000004"/>
  </r>
  <r>
    <x v="6"/>
    <x v="5"/>
    <x v="5"/>
    <n v="0"/>
  </r>
  <r>
    <x v="6"/>
    <x v="6"/>
    <x v="6"/>
    <n v="0"/>
  </r>
  <r>
    <x v="6"/>
    <x v="7"/>
    <x v="7"/>
    <n v="0"/>
  </r>
  <r>
    <x v="6"/>
    <x v="8"/>
    <x v="8"/>
    <n v="5.915"/>
  </r>
  <r>
    <x v="6"/>
    <x v="9"/>
    <x v="9"/>
    <n v="5.88"/>
  </r>
  <r>
    <x v="6"/>
    <x v="10"/>
    <x v="10"/>
    <n v="0"/>
  </r>
  <r>
    <x v="6"/>
    <x v="11"/>
    <x v="11"/>
    <n v="5.76"/>
  </r>
  <r>
    <x v="6"/>
    <x v="12"/>
    <x v="12"/>
    <n v="0"/>
  </r>
  <r>
    <x v="6"/>
    <x v="13"/>
    <x v="13"/>
    <n v="5.2"/>
  </r>
  <r>
    <x v="6"/>
    <x v="14"/>
    <x v="14"/>
    <n v="0"/>
  </r>
  <r>
    <x v="6"/>
    <x v="15"/>
    <x v="15"/>
    <n v="1.5450000000000002"/>
  </r>
  <r>
    <x v="6"/>
    <x v="16"/>
    <x v="16"/>
    <n v="4.9249999999999998"/>
  </r>
  <r>
    <x v="7"/>
    <x v="0"/>
    <x v="0"/>
    <n v="5.3250000000000002"/>
  </r>
  <r>
    <x v="7"/>
    <x v="1"/>
    <x v="1"/>
    <n v="5.7549999999999999"/>
  </r>
  <r>
    <x v="7"/>
    <x v="17"/>
    <x v="2"/>
    <n v="4.6050000000000004"/>
  </r>
  <r>
    <x v="7"/>
    <x v="3"/>
    <x v="3"/>
    <n v="4.42"/>
  </r>
  <r>
    <x v="7"/>
    <x v="4"/>
    <x v="4"/>
    <n v="4.29"/>
  </r>
  <r>
    <x v="7"/>
    <x v="5"/>
    <x v="5"/>
    <n v="4.4050000000000002"/>
  </r>
  <r>
    <x v="7"/>
    <x v="6"/>
    <x v="6"/>
    <n v="2.56"/>
  </r>
  <r>
    <x v="7"/>
    <x v="7"/>
    <x v="7"/>
    <n v="0"/>
  </r>
  <r>
    <x v="7"/>
    <x v="8"/>
    <x v="8"/>
    <n v="5.5350000000000001"/>
  </r>
  <r>
    <x v="7"/>
    <x v="9"/>
    <x v="9"/>
    <n v="4.4400000000000004"/>
  </r>
  <r>
    <x v="7"/>
    <x v="10"/>
    <x v="10"/>
    <n v="0"/>
  </r>
  <r>
    <x v="7"/>
    <x v="11"/>
    <x v="11"/>
    <n v="6.7850000000000001"/>
  </r>
  <r>
    <x v="7"/>
    <x v="12"/>
    <x v="12"/>
    <n v="0"/>
  </r>
  <r>
    <x v="7"/>
    <x v="13"/>
    <x v="13"/>
    <n v="6.31"/>
  </r>
  <r>
    <x v="7"/>
    <x v="14"/>
    <x v="14"/>
    <n v="0"/>
  </r>
  <r>
    <x v="7"/>
    <x v="15"/>
    <x v="15"/>
    <n v="3.4649999999999999"/>
  </r>
  <r>
    <x v="7"/>
    <x v="16"/>
    <x v="16"/>
    <n v="5.0049999999999999"/>
  </r>
  <r>
    <x v="8"/>
    <x v="8"/>
    <x v="17"/>
    <n v="4.5399999999999991"/>
  </r>
  <r>
    <x v="8"/>
    <x v="0"/>
    <x v="0"/>
    <n v="4.9499999999999993"/>
  </r>
  <r>
    <x v="8"/>
    <x v="6"/>
    <x v="6"/>
    <n v="2.8849999999999998"/>
  </r>
  <r>
    <x v="8"/>
    <x v="11"/>
    <x v="11"/>
    <n v="4.99"/>
  </r>
  <r>
    <x v="8"/>
    <x v="9"/>
    <x v="9"/>
    <n v="4.5950000000000006"/>
  </r>
  <r>
    <x v="8"/>
    <x v="4"/>
    <x v="4"/>
    <n v="3.4650000000000003"/>
  </r>
  <r>
    <x v="8"/>
    <x v="5"/>
    <x v="5"/>
    <n v="5.4849999999999994"/>
  </r>
  <r>
    <x v="8"/>
    <x v="3"/>
    <x v="3"/>
    <n v="4.0050000000000008"/>
  </r>
  <r>
    <x v="8"/>
    <x v="13"/>
    <x v="13"/>
    <n v="5.6449999999999996"/>
  </r>
  <r>
    <x v="8"/>
    <x v="1"/>
    <x v="1"/>
    <n v="4.7200000000000006"/>
  </r>
  <r>
    <x v="8"/>
    <x v="17"/>
    <x v="2"/>
    <n v="4.43"/>
  </r>
  <r>
    <x v="8"/>
    <x v="16"/>
    <x v="16"/>
    <n v="4.2200000000000006"/>
  </r>
  <r>
    <x v="8"/>
    <x v="15"/>
    <x v="15"/>
    <n v="2.64"/>
  </r>
  <r>
    <x v="8"/>
    <x v="18"/>
    <x v="18"/>
    <n v="4.24"/>
  </r>
  <r>
    <x v="9"/>
    <x v="0"/>
    <x v="0"/>
    <n v="4.01"/>
  </r>
  <r>
    <x v="9"/>
    <x v="1"/>
    <x v="1"/>
    <n v="4.09"/>
  </r>
  <r>
    <x v="9"/>
    <x v="17"/>
    <x v="2"/>
    <n v="4.0599999999999996"/>
  </r>
  <r>
    <x v="9"/>
    <x v="3"/>
    <x v="3"/>
    <n v="3.8650000000000002"/>
  </r>
  <r>
    <x v="9"/>
    <x v="4"/>
    <x v="4"/>
    <n v="3.1"/>
  </r>
  <r>
    <x v="9"/>
    <x v="5"/>
    <x v="5"/>
    <n v="5.52"/>
  </r>
  <r>
    <x v="9"/>
    <x v="6"/>
    <x v="6"/>
    <n v="2.78"/>
  </r>
  <r>
    <x v="9"/>
    <x v="8"/>
    <x v="8"/>
    <n v="4.7249999999999996"/>
  </r>
  <r>
    <x v="9"/>
    <x v="9"/>
    <x v="9"/>
    <n v="4.87"/>
  </r>
  <r>
    <x v="9"/>
    <x v="10"/>
    <x v="10"/>
    <n v="3.645"/>
  </r>
  <r>
    <x v="9"/>
    <x v="11"/>
    <x v="11"/>
    <n v="5.0999999999999996"/>
  </r>
  <r>
    <x v="9"/>
    <x v="12"/>
    <x v="12"/>
    <n v="0"/>
  </r>
  <r>
    <x v="9"/>
    <x v="13"/>
    <x v="13"/>
    <n v="4.26"/>
  </r>
  <r>
    <x v="9"/>
    <x v="15"/>
    <x v="15"/>
    <n v="2.2999999999999998"/>
  </r>
  <r>
    <x v="9"/>
    <x v="16"/>
    <x v="16"/>
    <n v="4.07"/>
  </r>
  <r>
    <x v="9"/>
    <x v="18"/>
    <x v="18"/>
    <n v="5.5"/>
  </r>
  <r>
    <x v="10"/>
    <x v="0"/>
    <x v="0"/>
    <n v="4.2549999999999999"/>
  </r>
  <r>
    <x v="10"/>
    <x v="1"/>
    <x v="1"/>
    <n v="3.0350000000000001"/>
  </r>
  <r>
    <x v="10"/>
    <x v="17"/>
    <x v="2"/>
    <n v="3.56"/>
  </r>
  <r>
    <x v="10"/>
    <x v="3"/>
    <x v="3"/>
    <n v="2.27"/>
  </r>
  <r>
    <x v="10"/>
    <x v="4"/>
    <x v="4"/>
    <n v="2.5499999999999998"/>
  </r>
  <r>
    <x v="10"/>
    <x v="5"/>
    <x v="5"/>
    <n v="4.1900000000000004"/>
  </r>
  <r>
    <x v="10"/>
    <x v="6"/>
    <x v="6"/>
    <n v="3.085"/>
  </r>
  <r>
    <x v="10"/>
    <x v="8"/>
    <x v="8"/>
    <n v="3.9950000000000001"/>
  </r>
  <r>
    <x v="10"/>
    <x v="9"/>
    <x v="9"/>
    <n v="4.3099999999999996"/>
  </r>
  <r>
    <x v="10"/>
    <x v="10"/>
    <x v="10"/>
    <n v="5.4450000000000003"/>
  </r>
  <r>
    <x v="10"/>
    <x v="11"/>
    <x v="11"/>
    <n v="4.6500000000000004"/>
  </r>
  <r>
    <x v="10"/>
    <x v="12"/>
    <x v="12"/>
    <n v="0"/>
  </r>
  <r>
    <x v="10"/>
    <x v="13"/>
    <x v="13"/>
    <n v="3.81"/>
  </r>
  <r>
    <x v="10"/>
    <x v="14"/>
    <x v="14"/>
    <n v="0"/>
  </r>
  <r>
    <x v="10"/>
    <x v="15"/>
    <x v="15"/>
    <n v="2.21"/>
  </r>
  <r>
    <x v="10"/>
    <x v="16"/>
    <x v="16"/>
    <n v="4.04"/>
  </r>
  <r>
    <x v="10"/>
    <x v="18"/>
    <x v="18"/>
    <n v="6.97"/>
  </r>
  <r>
    <x v="11"/>
    <x v="0"/>
    <x v="0"/>
    <n v="3.3050000000000002"/>
  </r>
  <r>
    <x v="11"/>
    <x v="1"/>
    <x v="1"/>
    <n v="3.8250000000000002"/>
  </r>
  <r>
    <x v="11"/>
    <x v="17"/>
    <x v="2"/>
    <n v="3.5750000000000002"/>
  </r>
  <r>
    <x v="11"/>
    <x v="3"/>
    <x v="3"/>
    <n v="2.9049999999999998"/>
  </r>
  <r>
    <x v="11"/>
    <x v="4"/>
    <x v="4"/>
    <n v="2.09"/>
  </r>
  <r>
    <x v="11"/>
    <x v="5"/>
    <x v="5"/>
    <n v="3.76"/>
  </r>
  <r>
    <x v="11"/>
    <x v="6"/>
    <x v="6"/>
    <n v="2.8149999999999999"/>
  </r>
  <r>
    <x v="11"/>
    <x v="8"/>
    <x v="8"/>
    <n v="3.45"/>
  </r>
  <r>
    <x v="11"/>
    <x v="9"/>
    <x v="9"/>
    <n v="3.6349999999999998"/>
  </r>
  <r>
    <x v="11"/>
    <x v="10"/>
    <x v="10"/>
    <n v="4.6950000000000003"/>
  </r>
  <r>
    <x v="11"/>
    <x v="11"/>
    <x v="11"/>
    <n v="4.3849999999999998"/>
  </r>
  <r>
    <x v="11"/>
    <x v="12"/>
    <x v="12"/>
    <n v="0"/>
  </r>
  <r>
    <x v="11"/>
    <x v="13"/>
    <x v="13"/>
    <n v="3.165"/>
  </r>
  <r>
    <x v="11"/>
    <x v="14"/>
    <x v="14"/>
    <n v="0"/>
  </r>
  <r>
    <x v="11"/>
    <x v="15"/>
    <x v="15"/>
    <n v="1.615"/>
  </r>
  <r>
    <x v="11"/>
    <x v="16"/>
    <x v="16"/>
    <n v="3.8050000000000002"/>
  </r>
  <r>
    <x v="11"/>
    <x v="18"/>
    <x v="18"/>
    <n v="7"/>
  </r>
  <r>
    <x v="12"/>
    <x v="0"/>
    <x v="0"/>
    <n v="3.26"/>
  </r>
  <r>
    <x v="12"/>
    <x v="1"/>
    <x v="1"/>
    <n v="5.7949999999999999"/>
  </r>
  <r>
    <x v="12"/>
    <x v="17"/>
    <x v="2"/>
    <n v="4.8949999999999996"/>
  </r>
  <r>
    <x v="12"/>
    <x v="3"/>
    <x v="3"/>
    <n v="4.0350000000000001"/>
  </r>
  <r>
    <x v="12"/>
    <x v="4"/>
    <x v="4"/>
    <n v="1.73"/>
  </r>
  <r>
    <x v="12"/>
    <x v="5"/>
    <x v="5"/>
    <n v="4.7149999999999999"/>
  </r>
  <r>
    <x v="12"/>
    <x v="6"/>
    <x v="6"/>
    <n v="3.05"/>
  </r>
  <r>
    <x v="12"/>
    <x v="8"/>
    <x v="8"/>
    <n v="4.07"/>
  </r>
  <r>
    <x v="12"/>
    <x v="9"/>
    <x v="9"/>
    <n v="4.08"/>
  </r>
  <r>
    <x v="12"/>
    <x v="10"/>
    <x v="10"/>
    <n v="5.25"/>
  </r>
  <r>
    <x v="12"/>
    <x v="11"/>
    <x v="11"/>
    <n v="5.915"/>
  </r>
  <r>
    <x v="12"/>
    <x v="12"/>
    <x v="12"/>
    <n v="0"/>
  </r>
  <r>
    <x v="12"/>
    <x v="13"/>
    <x v="13"/>
    <n v="6.04"/>
  </r>
  <r>
    <x v="12"/>
    <x v="14"/>
    <x v="14"/>
    <n v="0"/>
  </r>
  <r>
    <x v="12"/>
    <x v="15"/>
    <x v="15"/>
    <n v="1.93"/>
  </r>
  <r>
    <x v="12"/>
    <x v="16"/>
    <x v="16"/>
    <n v="5.03"/>
  </r>
  <r>
    <x v="12"/>
    <x v="18"/>
    <x v="18"/>
    <n v="7.75"/>
  </r>
  <r>
    <x v="13"/>
    <x v="0"/>
    <x v="0"/>
    <n v="3.7850000000000001"/>
  </r>
  <r>
    <x v="13"/>
    <x v="1"/>
    <x v="1"/>
    <n v="6.95"/>
  </r>
  <r>
    <x v="13"/>
    <x v="17"/>
    <x v="2"/>
    <n v="5.56"/>
  </r>
  <r>
    <x v="13"/>
    <x v="3"/>
    <x v="3"/>
    <n v="3.5150000000000001"/>
  </r>
  <r>
    <x v="13"/>
    <x v="4"/>
    <x v="4"/>
    <n v="1.4650000000000001"/>
  </r>
  <r>
    <x v="13"/>
    <x v="5"/>
    <x v="5"/>
    <n v="4.9800000000000004"/>
  </r>
  <r>
    <x v="13"/>
    <x v="6"/>
    <x v="6"/>
    <n v="2.9350000000000001"/>
  </r>
  <r>
    <x v="13"/>
    <x v="8"/>
    <x v="8"/>
    <n v="5.1349999999999998"/>
  </r>
  <r>
    <x v="13"/>
    <x v="9"/>
    <x v="9"/>
    <n v="3.7450000000000001"/>
  </r>
  <r>
    <x v="13"/>
    <x v="10"/>
    <x v="10"/>
    <n v="4.9400000000000004"/>
  </r>
  <r>
    <x v="13"/>
    <x v="11"/>
    <x v="11"/>
    <n v="6.78"/>
  </r>
  <r>
    <x v="13"/>
    <x v="12"/>
    <x v="12"/>
    <n v="0"/>
  </r>
  <r>
    <x v="13"/>
    <x v="13"/>
    <x v="13"/>
    <n v="7.9"/>
  </r>
  <r>
    <x v="13"/>
    <x v="14"/>
    <x v="14"/>
    <n v="0"/>
  </r>
  <r>
    <x v="13"/>
    <x v="15"/>
    <x v="15"/>
    <n v="1.86"/>
  </r>
  <r>
    <x v="13"/>
    <x v="16"/>
    <x v="16"/>
    <n v="5.04"/>
  </r>
  <r>
    <x v="13"/>
    <x v="18"/>
    <x v="18"/>
    <n v="8.68"/>
  </r>
  <r>
    <x v="14"/>
    <x v="8"/>
    <x v="17"/>
    <n v="4.75"/>
  </r>
  <r>
    <x v="14"/>
    <x v="0"/>
    <x v="0"/>
    <n v="3.97"/>
  </r>
  <r>
    <x v="14"/>
    <x v="10"/>
    <x v="10"/>
    <n v="5.31"/>
  </r>
  <r>
    <x v="14"/>
    <x v="11"/>
    <x v="11"/>
    <n v="5.27"/>
  </r>
  <r>
    <x v="14"/>
    <x v="5"/>
    <x v="5"/>
    <n v="4.2699999999999996"/>
  </r>
  <r>
    <x v="14"/>
    <x v="3"/>
    <x v="3"/>
    <n v="3.97"/>
  </r>
  <r>
    <x v="14"/>
    <x v="13"/>
    <x v="13"/>
    <n v="7.165"/>
  </r>
  <r>
    <x v="14"/>
    <x v="1"/>
    <x v="1"/>
    <n v="6.94"/>
  </r>
  <r>
    <x v="14"/>
    <x v="17"/>
    <x v="2"/>
    <n v="5.2"/>
  </r>
  <r>
    <x v="14"/>
    <x v="16"/>
    <x v="16"/>
    <n v="5"/>
  </r>
  <r>
    <x v="14"/>
    <x v="15"/>
    <x v="15"/>
    <n v="2.0699999999999998"/>
  </r>
  <r>
    <x v="14"/>
    <x v="18"/>
    <x v="18"/>
    <n v="7.38"/>
  </r>
  <r>
    <x v="15"/>
    <x v="8"/>
    <x v="17"/>
    <n v="4.3099999999999996"/>
  </r>
  <r>
    <x v="15"/>
    <x v="0"/>
    <x v="0"/>
    <n v="4.0750000000000002"/>
  </r>
  <r>
    <x v="15"/>
    <x v="10"/>
    <x v="10"/>
    <n v="5.39"/>
  </r>
  <r>
    <x v="15"/>
    <x v="11"/>
    <x v="11"/>
    <n v="4.9449999999999994"/>
  </r>
  <r>
    <x v="15"/>
    <x v="5"/>
    <x v="5"/>
    <n v="4.0149999999999997"/>
  </r>
  <r>
    <x v="15"/>
    <x v="3"/>
    <x v="3"/>
    <n v="4.0199999999999996"/>
  </r>
  <r>
    <x v="15"/>
    <x v="13"/>
    <x v="13"/>
    <n v="6.9950000000000001"/>
  </r>
  <r>
    <x v="15"/>
    <x v="1"/>
    <x v="1"/>
    <n v="7.7050000000000001"/>
  </r>
  <r>
    <x v="15"/>
    <x v="17"/>
    <x v="2"/>
    <n v="5.2729999999999997"/>
  </r>
  <r>
    <x v="15"/>
    <x v="16"/>
    <x v="16"/>
    <n v="5.3449999999999998"/>
  </r>
  <r>
    <x v="15"/>
    <x v="15"/>
    <x v="15"/>
    <n v="2.165"/>
  </r>
  <r>
    <x v="15"/>
    <x v="18"/>
    <x v="18"/>
    <n v="8.1050000000000004"/>
  </r>
  <r>
    <x v="16"/>
    <x v="8"/>
    <x v="17"/>
    <n v="4.46"/>
  </r>
  <r>
    <x v="16"/>
    <x v="0"/>
    <x v="0"/>
    <n v="4.8949999999999996"/>
  </r>
  <r>
    <x v="16"/>
    <x v="10"/>
    <x v="10"/>
    <n v="5.05"/>
  </r>
  <r>
    <x v="16"/>
    <x v="11"/>
    <x v="11"/>
    <n v="2.9649999999999999"/>
  </r>
  <r>
    <x v="16"/>
    <x v="5"/>
    <x v="5"/>
    <n v="3.5949999999999998"/>
  </r>
  <r>
    <x v="16"/>
    <x v="3"/>
    <x v="3"/>
    <n v="3.95"/>
  </r>
  <r>
    <x v="16"/>
    <x v="13"/>
    <x v="13"/>
    <n v="7.1449999999999996"/>
  </r>
  <r>
    <x v="16"/>
    <x v="1"/>
    <x v="1"/>
    <n v="6.5699999999999994"/>
  </r>
  <r>
    <x v="16"/>
    <x v="17"/>
    <x v="2"/>
    <n v="5.3449999999999998"/>
  </r>
  <r>
    <x v="16"/>
    <x v="16"/>
    <x v="16"/>
    <n v="5.01"/>
  </r>
  <r>
    <x v="16"/>
    <x v="15"/>
    <x v="15"/>
    <n v="1.8949999999999998"/>
  </r>
  <r>
    <x v="16"/>
    <x v="18"/>
    <x v="18"/>
    <n v="7.51"/>
  </r>
  <r>
    <x v="17"/>
    <x v="8"/>
    <x v="17"/>
    <n v="3.62"/>
  </r>
  <r>
    <x v="17"/>
    <x v="0"/>
    <x v="0"/>
    <n v="3.6499999999999995"/>
  </r>
  <r>
    <x v="17"/>
    <x v="10"/>
    <x v="10"/>
    <n v="4.9550000000000001"/>
  </r>
  <r>
    <x v="17"/>
    <x v="11"/>
    <x v="11"/>
    <n v="2.2549999999999999"/>
  </r>
  <r>
    <x v="17"/>
    <x v="5"/>
    <x v="5"/>
    <n v="3.46"/>
  </r>
  <r>
    <x v="17"/>
    <x v="3"/>
    <x v="3"/>
    <n v="3.585"/>
  </r>
  <r>
    <x v="17"/>
    <x v="13"/>
    <x v="13"/>
    <n v="6.1099999999999994"/>
  </r>
  <r>
    <x v="17"/>
    <x v="1"/>
    <x v="1"/>
    <n v="6.0149999999999997"/>
  </r>
  <r>
    <x v="17"/>
    <x v="17"/>
    <x v="2"/>
    <n v="5.16"/>
  </r>
  <r>
    <x v="17"/>
    <x v="16"/>
    <x v="16"/>
    <n v="5.1099999999999994"/>
  </r>
  <r>
    <x v="17"/>
    <x v="15"/>
    <x v="15"/>
    <n v="1.5999999999999999"/>
  </r>
  <r>
    <x v="17"/>
    <x v="18"/>
    <x v="18"/>
    <n v="7.27"/>
  </r>
  <r>
    <x v="17"/>
    <x v="19"/>
    <x v="19"/>
    <n v="5.7850000000000001"/>
  </r>
  <r>
    <x v="18"/>
    <x v="8"/>
    <x v="17"/>
    <n v="2.62"/>
  </r>
  <r>
    <x v="18"/>
    <x v="0"/>
    <x v="0"/>
    <n v="2.9950000000000001"/>
  </r>
  <r>
    <x v="18"/>
    <x v="10"/>
    <x v="10"/>
    <n v="4.41"/>
  </r>
  <r>
    <x v="18"/>
    <x v="11"/>
    <x v="11"/>
    <n v="1.18"/>
  </r>
  <r>
    <x v="18"/>
    <x v="5"/>
    <x v="5"/>
    <n v="3.3849999999999998"/>
  </r>
  <r>
    <x v="18"/>
    <x v="3"/>
    <x v="3"/>
    <n v="2.5499999999999998"/>
  </r>
  <r>
    <x v="18"/>
    <x v="13"/>
    <x v="13"/>
    <n v="5.5149999999999997"/>
  </r>
  <r>
    <x v="18"/>
    <x v="1"/>
    <x v="1"/>
    <n v="5.7799999999999994"/>
  </r>
  <r>
    <x v="18"/>
    <x v="17"/>
    <x v="2"/>
    <n v="4.72"/>
  </r>
  <r>
    <x v="18"/>
    <x v="16"/>
    <x v="16"/>
    <n v="4.6899999999999995"/>
  </r>
  <r>
    <x v="18"/>
    <x v="15"/>
    <x v="15"/>
    <n v="3.08"/>
  </r>
  <r>
    <x v="18"/>
    <x v="18"/>
    <x v="18"/>
    <n v="6.83"/>
  </r>
  <r>
    <x v="18"/>
    <x v="19"/>
    <x v="19"/>
    <n v="6.22"/>
  </r>
  <r>
    <x v="19"/>
    <x v="8"/>
    <x v="17"/>
    <n v="1.8800000000000001"/>
  </r>
  <r>
    <x v="19"/>
    <x v="0"/>
    <x v="0"/>
    <n v="2.2000000000000002"/>
  </r>
  <r>
    <x v="19"/>
    <x v="10"/>
    <x v="10"/>
    <n v="4.1899999999999995"/>
  </r>
  <r>
    <x v="19"/>
    <x v="11"/>
    <x v="11"/>
    <n v="0"/>
  </r>
  <r>
    <x v="19"/>
    <x v="5"/>
    <x v="5"/>
    <n v="3.1349999999999998"/>
  </r>
  <r>
    <x v="19"/>
    <x v="3"/>
    <x v="3"/>
    <n v="2.5499999999999998"/>
  </r>
  <r>
    <x v="19"/>
    <x v="13"/>
    <x v="13"/>
    <n v="4.4799999999999995"/>
  </r>
  <r>
    <x v="19"/>
    <x v="1"/>
    <x v="1"/>
    <n v="5.42"/>
  </r>
  <r>
    <x v="19"/>
    <x v="17"/>
    <x v="2"/>
    <n v="4.25"/>
  </r>
  <r>
    <x v="19"/>
    <x v="16"/>
    <x v="16"/>
    <n v="4.6399999999999997"/>
  </r>
  <r>
    <x v="19"/>
    <x v="15"/>
    <x v="15"/>
    <n v="1.8099999999999998"/>
  </r>
  <r>
    <x v="19"/>
    <x v="18"/>
    <x v="18"/>
    <n v="7.0549999999999997"/>
  </r>
  <r>
    <x v="19"/>
    <x v="19"/>
    <x v="19"/>
    <n v="6.5750000000000002"/>
  </r>
  <r>
    <x v="20"/>
    <x v="8"/>
    <x v="17"/>
    <n v="0"/>
  </r>
  <r>
    <x v="20"/>
    <x v="0"/>
    <x v="0"/>
    <n v="5.7850000000000001"/>
  </r>
  <r>
    <x v="20"/>
    <x v="10"/>
    <x v="10"/>
    <n v="4.335"/>
  </r>
  <r>
    <x v="20"/>
    <x v="11"/>
    <x v="11"/>
    <n v="0"/>
  </r>
  <r>
    <x v="20"/>
    <x v="5"/>
    <x v="5"/>
    <n v="1.2849999999999999"/>
  </r>
  <r>
    <x v="20"/>
    <x v="3"/>
    <x v="3"/>
    <n v="1.24"/>
  </r>
  <r>
    <x v="20"/>
    <x v="13"/>
    <x v="13"/>
    <n v="2.2350000000000003"/>
  </r>
  <r>
    <x v="20"/>
    <x v="1"/>
    <x v="1"/>
    <n v="4.1150000000000002"/>
  </r>
  <r>
    <x v="20"/>
    <x v="17"/>
    <x v="2"/>
    <n v="2.6749999999999998"/>
  </r>
  <r>
    <x v="20"/>
    <x v="16"/>
    <x v="16"/>
    <n v="3.5549999999999997"/>
  </r>
  <r>
    <x v="20"/>
    <x v="15"/>
    <x v="15"/>
    <n v="1.5549999999999999"/>
  </r>
  <r>
    <x v="20"/>
    <x v="18"/>
    <x v="18"/>
    <n v="5.41"/>
  </r>
  <r>
    <x v="20"/>
    <x v="19"/>
    <x v="19"/>
    <n v="5.9950000000000001"/>
  </r>
  <r>
    <x v="21"/>
    <x v="8"/>
    <x v="17"/>
    <n v="0"/>
  </r>
  <r>
    <x v="21"/>
    <x v="0"/>
    <x v="0"/>
    <n v="1.3299999999999998"/>
  </r>
  <r>
    <x v="21"/>
    <x v="10"/>
    <x v="10"/>
    <n v="3.9749999999999996"/>
  </r>
  <r>
    <x v="21"/>
    <x v="11"/>
    <x v="11"/>
    <n v="0"/>
  </r>
  <r>
    <x v="21"/>
    <x v="5"/>
    <x v="5"/>
    <n v="3.5649999999999995"/>
  </r>
  <r>
    <x v="21"/>
    <x v="3"/>
    <x v="3"/>
    <n v="1.45"/>
  </r>
  <r>
    <x v="21"/>
    <x v="13"/>
    <x v="13"/>
    <n v="2.2750000000000004"/>
  </r>
  <r>
    <x v="21"/>
    <x v="1"/>
    <x v="1"/>
    <n v="4.34"/>
  </r>
  <r>
    <x v="21"/>
    <x v="17"/>
    <x v="2"/>
    <n v="3.3449999999999998"/>
  </r>
  <r>
    <x v="21"/>
    <x v="16"/>
    <x v="16"/>
    <n v="2.3200000000000003"/>
  </r>
  <r>
    <x v="21"/>
    <x v="15"/>
    <x v="15"/>
    <n v="1.6700000000000002"/>
  </r>
  <r>
    <x v="21"/>
    <x v="18"/>
    <x v="18"/>
    <n v="5.4349999999999996"/>
  </r>
  <r>
    <x v="21"/>
    <x v="19"/>
    <x v="19"/>
    <n v="5.3"/>
  </r>
  <r>
    <x v="22"/>
    <x v="8"/>
    <x v="17"/>
    <n v="0"/>
  </r>
  <r>
    <x v="22"/>
    <x v="0"/>
    <x v="0"/>
    <n v="0"/>
  </r>
  <r>
    <x v="22"/>
    <x v="10"/>
    <x v="10"/>
    <n v="3.6349999999999998"/>
  </r>
  <r>
    <x v="22"/>
    <x v="11"/>
    <x v="11"/>
    <n v="0"/>
  </r>
  <r>
    <x v="22"/>
    <x v="5"/>
    <x v="5"/>
    <n v="3.3199999999999994"/>
  </r>
  <r>
    <x v="22"/>
    <x v="3"/>
    <x v="3"/>
    <n v="0"/>
  </r>
  <r>
    <x v="22"/>
    <x v="13"/>
    <x v="13"/>
    <n v="1.925"/>
  </r>
  <r>
    <x v="22"/>
    <x v="1"/>
    <x v="1"/>
    <n v="3.71"/>
  </r>
  <r>
    <x v="22"/>
    <x v="17"/>
    <x v="2"/>
    <n v="2.7350000000000003"/>
  </r>
  <r>
    <x v="22"/>
    <x v="16"/>
    <x v="16"/>
    <n v="2.04"/>
  </r>
  <r>
    <x v="22"/>
    <x v="15"/>
    <x v="15"/>
    <n v="0.88000000000000012"/>
  </r>
  <r>
    <x v="22"/>
    <x v="18"/>
    <x v="18"/>
    <n v="5.31"/>
  </r>
  <r>
    <x v="22"/>
    <x v="19"/>
    <x v="19"/>
    <n v="5.97"/>
  </r>
  <r>
    <x v="23"/>
    <x v="8"/>
    <x v="17"/>
    <n v="0"/>
  </r>
  <r>
    <x v="23"/>
    <x v="0"/>
    <x v="0"/>
    <n v="0"/>
  </r>
  <r>
    <x v="23"/>
    <x v="10"/>
    <x v="10"/>
    <n v="2.9400000000000004"/>
  </r>
  <r>
    <x v="23"/>
    <x v="11"/>
    <x v="11"/>
    <n v="0"/>
  </r>
  <r>
    <x v="23"/>
    <x v="5"/>
    <x v="5"/>
    <n v="2.8449999999999998"/>
  </r>
  <r>
    <x v="23"/>
    <x v="3"/>
    <x v="3"/>
    <n v="0"/>
  </r>
  <r>
    <x v="23"/>
    <x v="13"/>
    <x v="13"/>
    <n v="1.7350000000000001"/>
  </r>
  <r>
    <x v="23"/>
    <x v="1"/>
    <x v="1"/>
    <n v="2.59"/>
  </r>
  <r>
    <x v="23"/>
    <x v="17"/>
    <x v="2"/>
    <n v="1.5799999999999998"/>
  </r>
  <r>
    <x v="23"/>
    <x v="16"/>
    <x v="16"/>
    <n v="1.02"/>
  </r>
  <r>
    <x v="23"/>
    <x v="15"/>
    <x v="15"/>
    <n v="1.385"/>
  </r>
  <r>
    <x v="23"/>
    <x v="18"/>
    <x v="18"/>
    <n v="4.76"/>
  </r>
  <r>
    <x v="23"/>
    <x v="19"/>
    <x v="19"/>
    <n v="4.0449999999999999"/>
  </r>
  <r>
    <x v="23"/>
    <x v="20"/>
    <x v="20"/>
    <n v="5.9749999999999996"/>
  </r>
  <r>
    <x v="24"/>
    <x v="8"/>
    <x v="17"/>
    <n v="0"/>
  </r>
  <r>
    <x v="24"/>
    <x v="0"/>
    <x v="0"/>
    <n v="0"/>
  </r>
  <r>
    <x v="24"/>
    <x v="10"/>
    <x v="10"/>
    <n v="2.7"/>
  </r>
  <r>
    <x v="24"/>
    <x v="11"/>
    <x v="11"/>
    <n v="0"/>
  </r>
  <r>
    <x v="24"/>
    <x v="5"/>
    <x v="5"/>
    <n v="2.72"/>
  </r>
  <r>
    <x v="24"/>
    <x v="3"/>
    <x v="3"/>
    <n v="4.2649999999999997"/>
  </r>
  <r>
    <x v="24"/>
    <x v="13"/>
    <x v="13"/>
    <n v="1.6850000000000001"/>
  </r>
  <r>
    <x v="24"/>
    <x v="1"/>
    <x v="1"/>
    <n v="0.96"/>
  </r>
  <r>
    <x v="24"/>
    <x v="17"/>
    <x v="2"/>
    <n v="0"/>
  </r>
  <r>
    <x v="24"/>
    <x v="16"/>
    <x v="16"/>
    <n v="0"/>
  </r>
  <r>
    <x v="24"/>
    <x v="15"/>
    <x v="15"/>
    <n v="1.2350000000000001"/>
  </r>
  <r>
    <x v="24"/>
    <x v="18"/>
    <x v="18"/>
    <n v="4"/>
  </r>
  <r>
    <x v="24"/>
    <x v="19"/>
    <x v="19"/>
    <n v="4.43"/>
  </r>
  <r>
    <x v="24"/>
    <x v="20"/>
    <x v="20"/>
    <n v="5.0350000000000001"/>
  </r>
  <r>
    <x v="25"/>
    <x v="8"/>
    <x v="17"/>
    <n v="0"/>
  </r>
  <r>
    <x v="25"/>
    <x v="0"/>
    <x v="0"/>
    <n v="0"/>
  </r>
  <r>
    <x v="25"/>
    <x v="10"/>
    <x v="10"/>
    <n v="1.89"/>
  </r>
  <r>
    <x v="25"/>
    <x v="11"/>
    <x v="11"/>
    <n v="3.8050000000000002"/>
  </r>
  <r>
    <x v="25"/>
    <x v="5"/>
    <x v="5"/>
    <n v="0"/>
  </r>
  <r>
    <x v="25"/>
    <x v="3"/>
    <x v="3"/>
    <n v="3.4049999999999998"/>
  </r>
  <r>
    <x v="25"/>
    <x v="13"/>
    <x v="13"/>
    <n v="1.24"/>
  </r>
  <r>
    <x v="25"/>
    <x v="1"/>
    <x v="1"/>
    <n v="0"/>
  </r>
  <r>
    <x v="25"/>
    <x v="17"/>
    <x v="2"/>
    <n v="6.7750000000000004"/>
  </r>
  <r>
    <x v="25"/>
    <x v="16"/>
    <x v="16"/>
    <n v="0"/>
  </r>
  <r>
    <x v="25"/>
    <x v="15"/>
    <x v="15"/>
    <n v="1.08"/>
  </r>
  <r>
    <x v="25"/>
    <x v="18"/>
    <x v="18"/>
    <n v="3.65"/>
  </r>
  <r>
    <x v="25"/>
    <x v="19"/>
    <x v="19"/>
    <n v="4.4050000000000002"/>
  </r>
  <r>
    <x v="25"/>
    <x v="20"/>
    <x v="20"/>
    <n v="4.58"/>
  </r>
  <r>
    <x v="26"/>
    <x v="8"/>
    <x v="17"/>
    <n v="0"/>
  </r>
  <r>
    <x v="26"/>
    <x v="0"/>
    <x v="0"/>
    <n v="0"/>
  </r>
  <r>
    <x v="26"/>
    <x v="10"/>
    <x v="10"/>
    <n v="1.615"/>
  </r>
  <r>
    <x v="26"/>
    <x v="11"/>
    <x v="11"/>
    <n v="5.9749999999999996"/>
  </r>
  <r>
    <x v="26"/>
    <x v="5"/>
    <x v="5"/>
    <n v="0"/>
  </r>
  <r>
    <x v="26"/>
    <x v="3"/>
    <x v="3"/>
    <n v="3.96"/>
  </r>
  <r>
    <x v="26"/>
    <x v="13"/>
    <x v="13"/>
    <n v="2.14"/>
  </r>
  <r>
    <x v="26"/>
    <x v="1"/>
    <x v="1"/>
    <n v="0"/>
  </r>
  <r>
    <x v="26"/>
    <x v="17"/>
    <x v="2"/>
    <n v="6.51"/>
  </r>
  <r>
    <x v="26"/>
    <x v="16"/>
    <x v="16"/>
    <n v="0"/>
  </r>
  <r>
    <x v="26"/>
    <x v="15"/>
    <x v="15"/>
    <n v="0"/>
  </r>
  <r>
    <x v="26"/>
    <x v="18"/>
    <x v="18"/>
    <n v="3.37"/>
  </r>
  <r>
    <x v="26"/>
    <x v="19"/>
    <x v="19"/>
    <n v="4.4000000000000004"/>
  </r>
  <r>
    <x v="26"/>
    <x v="20"/>
    <x v="20"/>
    <n v="3.8149999999999999"/>
  </r>
  <r>
    <x v="27"/>
    <x v="8"/>
    <x v="17"/>
    <n v="6.15"/>
  </r>
  <r>
    <x v="27"/>
    <x v="0"/>
    <x v="0"/>
    <n v="0"/>
  </r>
  <r>
    <x v="27"/>
    <x v="10"/>
    <x v="10"/>
    <n v="0.85499999999999998"/>
  </r>
  <r>
    <x v="27"/>
    <x v="11"/>
    <x v="11"/>
    <n v="6.49"/>
  </r>
  <r>
    <x v="27"/>
    <x v="5"/>
    <x v="5"/>
    <n v="0"/>
  </r>
  <r>
    <x v="27"/>
    <x v="3"/>
    <x v="3"/>
    <n v="4.0350000000000001"/>
  </r>
  <r>
    <x v="27"/>
    <x v="1"/>
    <x v="1"/>
    <n v="4.96"/>
  </r>
  <r>
    <x v="27"/>
    <x v="17"/>
    <x v="2"/>
    <n v="6.1950000000000003"/>
  </r>
  <r>
    <x v="27"/>
    <x v="19"/>
    <x v="19"/>
    <n v="4.1449999999999996"/>
  </r>
  <r>
    <x v="27"/>
    <x v="20"/>
    <x v="20"/>
    <n v="4.665"/>
  </r>
  <r>
    <x v="27"/>
    <x v="18"/>
    <x v="18"/>
    <n v="3.26"/>
  </r>
  <r>
    <x v="28"/>
    <x v="13"/>
    <x v="13"/>
    <n v="7.335"/>
  </r>
  <r>
    <x v="28"/>
    <x v="1"/>
    <x v="1"/>
    <n v="8.4350000000000005"/>
  </r>
  <r>
    <x v="28"/>
    <x v="17"/>
    <x v="2"/>
    <n v="6.5449999999999999"/>
  </r>
  <r>
    <x v="28"/>
    <x v="16"/>
    <x v="16"/>
    <n v="0"/>
  </r>
  <r>
    <x v="28"/>
    <x v="15"/>
    <x v="15"/>
    <n v="0"/>
  </r>
  <r>
    <x v="28"/>
    <x v="18"/>
    <x v="18"/>
    <n v="2.915"/>
  </r>
  <r>
    <x v="28"/>
    <x v="19"/>
    <x v="19"/>
    <n v="4.04"/>
  </r>
  <r>
    <x v="28"/>
    <x v="20"/>
    <x v="20"/>
    <n v="3.46"/>
  </r>
  <r>
    <x v="28"/>
    <x v="8"/>
    <x v="17"/>
    <n v="5.6449999999999996"/>
  </r>
  <r>
    <x v="28"/>
    <x v="0"/>
    <x v="0"/>
    <n v="3.6949999999999998"/>
  </r>
  <r>
    <x v="28"/>
    <x v="10"/>
    <x v="10"/>
    <n v="0"/>
  </r>
  <r>
    <x v="28"/>
    <x v="11"/>
    <x v="11"/>
    <n v="6.5149999999999997"/>
  </r>
  <r>
    <x v="28"/>
    <x v="5"/>
    <x v="5"/>
    <n v="1.405"/>
  </r>
  <r>
    <x v="28"/>
    <x v="3"/>
    <x v="3"/>
    <n v="3.7949999999999999"/>
  </r>
  <r>
    <x v="29"/>
    <x v="13"/>
    <x v="13"/>
    <n v="7.335"/>
  </r>
  <r>
    <x v="29"/>
    <x v="1"/>
    <x v="1"/>
    <n v="11.135"/>
  </r>
  <r>
    <x v="29"/>
    <x v="17"/>
    <x v="2"/>
    <n v="6.66"/>
  </r>
  <r>
    <x v="29"/>
    <x v="16"/>
    <x v="16"/>
    <n v="0"/>
  </r>
  <r>
    <x v="29"/>
    <x v="15"/>
    <x v="15"/>
    <n v="0"/>
  </r>
  <r>
    <x v="29"/>
    <x v="18"/>
    <x v="18"/>
    <n v="2.75"/>
  </r>
  <r>
    <x v="29"/>
    <x v="19"/>
    <x v="19"/>
    <n v="4.51"/>
  </r>
  <r>
    <x v="29"/>
    <x v="20"/>
    <x v="20"/>
    <n v="3.55"/>
  </r>
  <r>
    <x v="29"/>
    <x v="8"/>
    <x v="17"/>
    <n v="4.05"/>
  </r>
  <r>
    <x v="29"/>
    <x v="0"/>
    <x v="0"/>
    <n v="6.55"/>
  </r>
  <r>
    <x v="29"/>
    <x v="10"/>
    <x v="10"/>
    <n v="0"/>
  </r>
  <r>
    <x v="29"/>
    <x v="11"/>
    <x v="11"/>
    <n v="6.73"/>
  </r>
  <r>
    <x v="29"/>
    <x v="5"/>
    <x v="5"/>
    <n v="2.19"/>
  </r>
  <r>
    <x v="29"/>
    <x v="3"/>
    <x v="3"/>
    <n v="4.1100000000000003"/>
  </r>
  <r>
    <x v="30"/>
    <x v="13"/>
    <x v="13"/>
    <n v="8.2100000000000009"/>
  </r>
  <r>
    <x v="30"/>
    <x v="1"/>
    <x v="1"/>
    <n v="11.085000000000001"/>
  </r>
  <r>
    <x v="30"/>
    <x v="17"/>
    <x v="2"/>
    <n v="7.65"/>
  </r>
  <r>
    <x v="30"/>
    <x v="16"/>
    <x v="16"/>
    <n v="6.45"/>
  </r>
  <r>
    <x v="30"/>
    <x v="15"/>
    <x v="15"/>
    <n v="0"/>
  </r>
  <r>
    <x v="30"/>
    <x v="18"/>
    <x v="18"/>
    <n v="0"/>
  </r>
  <r>
    <x v="30"/>
    <x v="19"/>
    <x v="19"/>
    <n v="4.41"/>
  </r>
  <r>
    <x v="30"/>
    <x v="20"/>
    <x v="20"/>
    <n v="4.76"/>
  </r>
  <r>
    <x v="30"/>
    <x v="8"/>
    <x v="17"/>
    <n v="7.415"/>
  </r>
  <r>
    <x v="30"/>
    <x v="0"/>
    <x v="0"/>
    <n v="5.0350000000000001"/>
  </r>
  <r>
    <x v="30"/>
    <x v="10"/>
    <x v="10"/>
    <n v="0"/>
  </r>
  <r>
    <x v="30"/>
    <x v="11"/>
    <x v="11"/>
    <n v="7.36"/>
  </r>
  <r>
    <x v="30"/>
    <x v="5"/>
    <x v="5"/>
    <n v="3.1349999999999998"/>
  </r>
  <r>
    <x v="30"/>
    <x v="3"/>
    <x v="3"/>
    <n v="4.03"/>
  </r>
  <r>
    <x v="31"/>
    <x v="13"/>
    <x v="13"/>
    <n v="6.16"/>
  </r>
  <r>
    <x v="31"/>
    <x v="1"/>
    <x v="1"/>
    <n v="9.375"/>
  </r>
  <r>
    <x v="31"/>
    <x v="17"/>
    <x v="2"/>
    <n v="6.0449999999999999"/>
  </r>
  <r>
    <x v="31"/>
    <x v="16"/>
    <x v="16"/>
    <n v="5"/>
  </r>
  <r>
    <x v="31"/>
    <x v="15"/>
    <x v="15"/>
    <n v="0"/>
  </r>
  <r>
    <x v="31"/>
    <x v="18"/>
    <x v="18"/>
    <n v="2"/>
  </r>
  <r>
    <x v="31"/>
    <x v="19"/>
    <x v="19"/>
    <n v="3.9449999999999998"/>
  </r>
  <r>
    <x v="31"/>
    <x v="20"/>
    <x v="20"/>
    <n v="3.12"/>
  </r>
  <r>
    <x v="31"/>
    <x v="8"/>
    <x v="17"/>
    <n v="6.2249999999999996"/>
  </r>
  <r>
    <x v="31"/>
    <x v="0"/>
    <x v="0"/>
    <n v="4.3099999999999996"/>
  </r>
  <r>
    <x v="31"/>
    <x v="10"/>
    <x v="10"/>
    <n v="0"/>
  </r>
  <r>
    <x v="31"/>
    <x v="11"/>
    <x v="11"/>
    <n v="4.2"/>
  </r>
  <r>
    <x v="31"/>
    <x v="5"/>
    <x v="5"/>
    <n v="1.98"/>
  </r>
  <r>
    <x v="31"/>
    <x v="3"/>
    <x v="3"/>
    <n v="2.61"/>
  </r>
  <r>
    <x v="32"/>
    <x v="13"/>
    <x v="13"/>
    <n v="5.2350000000000003"/>
  </r>
  <r>
    <x v="32"/>
    <x v="1"/>
    <x v="1"/>
    <n v="6.8449999999999998"/>
  </r>
  <r>
    <x v="32"/>
    <x v="17"/>
    <x v="2"/>
    <n v="5.15"/>
  </r>
  <r>
    <x v="32"/>
    <x v="16"/>
    <x v="16"/>
    <n v="4.97"/>
  </r>
  <r>
    <x v="32"/>
    <x v="18"/>
    <x v="18"/>
    <n v="2.3149999999999999"/>
  </r>
  <r>
    <x v="32"/>
    <x v="19"/>
    <x v="19"/>
    <n v="2.29"/>
  </r>
  <r>
    <x v="32"/>
    <x v="20"/>
    <x v="20"/>
    <n v="2.1349999999999998"/>
  </r>
  <r>
    <x v="32"/>
    <x v="8"/>
    <x v="17"/>
    <n v="5.3550000000000004"/>
  </r>
  <r>
    <x v="32"/>
    <x v="0"/>
    <x v="0"/>
    <n v="2.7349999999999999"/>
  </r>
  <r>
    <x v="32"/>
    <x v="10"/>
    <x v="10"/>
    <n v="0"/>
  </r>
  <r>
    <x v="32"/>
    <x v="11"/>
    <x v="11"/>
    <n v="5.17"/>
  </r>
  <r>
    <x v="32"/>
    <x v="5"/>
    <x v="5"/>
    <n v="1.81"/>
  </r>
  <r>
    <x v="32"/>
    <x v="3"/>
    <x v="3"/>
    <n v="3.15"/>
  </r>
  <r>
    <x v="33"/>
    <x v="13"/>
    <x v="13"/>
    <n v="4.47"/>
  </r>
  <r>
    <x v="33"/>
    <x v="1"/>
    <x v="1"/>
    <n v="5.22"/>
  </r>
  <r>
    <x v="33"/>
    <x v="17"/>
    <x v="2"/>
    <n v="4.3949999999999996"/>
  </r>
  <r>
    <x v="33"/>
    <x v="16"/>
    <x v="16"/>
    <n v="3.52"/>
  </r>
  <r>
    <x v="33"/>
    <x v="18"/>
    <x v="18"/>
    <n v="2.2250000000000001"/>
  </r>
  <r>
    <x v="33"/>
    <x v="19"/>
    <x v="19"/>
    <n v="0.57999999999999996"/>
  </r>
  <r>
    <x v="33"/>
    <x v="20"/>
    <x v="20"/>
    <n v="2.2050000000000001"/>
  </r>
  <r>
    <x v="33"/>
    <x v="8"/>
    <x v="17"/>
    <n v="5.1349999999999998"/>
  </r>
  <r>
    <x v="33"/>
    <x v="0"/>
    <x v="0"/>
    <n v="3.1749999999999998"/>
  </r>
  <r>
    <x v="33"/>
    <x v="10"/>
    <x v="10"/>
    <n v="0"/>
  </r>
  <r>
    <x v="33"/>
    <x v="11"/>
    <x v="11"/>
    <n v="6.13"/>
  </r>
  <r>
    <x v="33"/>
    <x v="5"/>
    <x v="5"/>
    <n v="1.5649999999999999"/>
  </r>
  <r>
    <x v="33"/>
    <x v="3"/>
    <x v="3"/>
    <n v="3.165"/>
  </r>
  <r>
    <x v="34"/>
    <x v="13"/>
    <x v="13"/>
    <n v="6.1550000000000002"/>
  </r>
  <r>
    <x v="34"/>
    <x v="1"/>
    <x v="1"/>
    <n v="6.6950000000000003"/>
  </r>
  <r>
    <x v="34"/>
    <x v="17"/>
    <x v="2"/>
    <n v="5.8150000000000004"/>
  </r>
  <r>
    <x v="34"/>
    <x v="16"/>
    <x v="16"/>
    <n v="4.9400000000000004"/>
  </r>
  <r>
    <x v="34"/>
    <x v="18"/>
    <x v="18"/>
    <n v="3.28"/>
  </r>
  <r>
    <x v="34"/>
    <x v="19"/>
    <x v="19"/>
    <n v="0"/>
  </r>
  <r>
    <x v="34"/>
    <x v="20"/>
    <x v="20"/>
    <n v="3.56"/>
  </r>
  <r>
    <x v="34"/>
    <x v="8"/>
    <x v="17"/>
    <n v="6.3"/>
  </r>
  <r>
    <x v="34"/>
    <x v="0"/>
    <x v="0"/>
    <n v="3.6749999999999998"/>
  </r>
  <r>
    <x v="34"/>
    <x v="10"/>
    <x v="10"/>
    <n v="5.2"/>
  </r>
  <r>
    <x v="34"/>
    <x v="11"/>
    <x v="11"/>
    <n v="4.29"/>
  </r>
  <r>
    <x v="34"/>
    <x v="5"/>
    <x v="5"/>
    <n v="1.98"/>
  </r>
  <r>
    <x v="34"/>
    <x v="3"/>
    <x v="3"/>
    <n v="3.19499999999999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B9C0B4-1979-4373-B2CE-5D7D6B87FBE8}" name="TablaDinámica2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G55:T78" firstHeaderRow="1" firstDataRow="2" firstDataCol="1"/>
  <pivotFields count="6">
    <pivotField axis="axisCol" numFmtId="164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showAll="0">
      <items count="22">
        <item sd="0" x="16"/>
        <item sd="0" x="15"/>
        <item sd="0" x="8"/>
        <item sd="0" x="7"/>
        <item x="0"/>
        <item x="6"/>
        <item x="11"/>
        <item x="2"/>
        <item x="17"/>
        <item x="4"/>
        <item x="5"/>
        <item x="3"/>
        <item x="18"/>
        <item x="19"/>
        <item x="10"/>
        <item x="14"/>
        <item x="12"/>
        <item x="9"/>
        <item x="13"/>
        <item x="1"/>
        <item x="20"/>
        <item t="default"/>
      </items>
    </pivotField>
    <pivotField showAll="0">
      <items count="22">
        <item x="19"/>
        <item x="18"/>
        <item x="9"/>
        <item x="2"/>
        <item x="12"/>
        <item x="7"/>
        <item x="1"/>
        <item x="17"/>
        <item x="10"/>
        <item x="16"/>
        <item x="11"/>
        <item x="13"/>
        <item x="0"/>
        <item x="6"/>
        <item x="5"/>
        <item x="20"/>
        <item x="14"/>
        <item x="3"/>
        <item x="4"/>
        <item x="8"/>
        <item x="15"/>
        <item t="default"/>
      </items>
    </pivotField>
    <pivotField dataField="1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6">
        <item sd="0" x="0"/>
        <item sd="0" x="1"/>
        <item sd="0" x="2"/>
        <item sd="0" x="3"/>
        <item sd="0" x="4"/>
        <item t="default"/>
      </items>
    </pivotField>
  </pivotFields>
  <rowFields count="1">
    <field x="1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0"/>
  </colFields>
  <col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a de Kg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</v>
    <v>8</v>
    <v>19</v>
    <v>1</v>
  </rv>
  <rv s="1">
    <v>8</v>
    <v>1</v>
  </rv>
</rvData>
</file>

<file path=xl/richData/rdrichvaluestructure.xml><?xml version="1.0" encoding="utf-8"?>
<rvStructures xmlns="http://schemas.microsoft.com/office/spreadsheetml/2017/richdata" count="2">
  <s t="_error">
    <k n="colOffset" t="i"/>
    <k n="errorType" t="i"/>
    <k n="rwOffset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ichas" displayName="Fichas" ref="A3:R121" totalsRowCount="1" totalsRowDxfId="199">
  <autoFilter ref="A3:R120" xr:uid="{00000000-0009-0000-0100-000001000000}"/>
  <sortState xmlns:xlrd2="http://schemas.microsoft.com/office/spreadsheetml/2017/richdata2" ref="A4:R74">
    <sortCondition descending="1" ref="G3:G74"/>
  </sortState>
  <tableColumns count="18">
    <tableColumn id="3" xr3:uid="{00000000-0010-0000-0000-000003000000}" name="Numero" totalsRowDxfId="198"/>
    <tableColumn id="4" xr3:uid="{00000000-0010-0000-0000-000004000000}" name="Nombre" totalsRowDxfId="197">
      <calculatedColumnFormula>CONCATENATE("H DE  ",N4)</calculatedColumnFormula>
    </tableColumn>
    <tableColumn id="19" xr3:uid="{00000000-0010-0000-0000-000013000000}" name="F Nacimiento" totalsRowDxfId="196"/>
    <tableColumn id="5" xr3:uid="{00000000-0010-0000-0000-000005000000}" name="Sexo" totalsRowDxfId="195"/>
    <tableColumn id="1" xr3:uid="{00000000-0010-0000-0000-000001000000}" name="Raza" totalsRowDxfId="194"/>
    <tableColumn id="2" xr3:uid="{ACB3C717-6C01-4F4E-8354-F26815C76BB4}" name="Propietario" dataDxfId="193" totalsRowDxfId="192" dataCellStyle="40% - Énfasis1"/>
    <tableColumn id="21" xr3:uid="{00000000-0010-0000-0000-000015000000}" name="Tipo" totalsRowDxfId="191"/>
    <tableColumn id="8" xr3:uid="{00000000-0010-0000-0000-000008000000}" name="Lote" totalsRowDxfId="190"/>
    <tableColumn id="9" xr3:uid="{00000000-0010-0000-0000-000009000000}" name="Status" totalsRowFunction="count" totalsRowDxfId="189"/>
    <tableColumn id="10" xr3:uid="{00000000-0010-0000-0000-00000A000000}" name="Años" totalsRowDxfId="188">
      <calculatedColumnFormula>INT((TODAY()-C4)/365)</calculatedColumnFormula>
    </tableColumn>
    <tableColumn id="11" xr3:uid="{00000000-0010-0000-0000-00000B000000}" name="Meses" totalsRowDxfId="187">
      <calculatedColumnFormula>INT(((((TODAY()-C4)/365)-J4)*365)/30)</calculatedColumnFormula>
    </tableColumn>
    <tableColumn id="12" xr3:uid="{00000000-0010-0000-0000-00000C000000}" name="Dias" totalsRowDxfId="186">
      <calculatedColumnFormula>((((((TODAY()-C4)/365)-INT((TODAY()-C4)/365))*365)/30)-(K4))*30</calculatedColumnFormula>
    </tableColumn>
    <tableColumn id="13" xr3:uid="{00000000-0010-0000-0000-00000D000000}" name="Num/Madre" totalsRowDxfId="185"/>
    <tableColumn id="14" xr3:uid="{00000000-0010-0000-0000-00000E000000}" name="Nom/Madre" totalsRowDxfId="184"/>
    <tableColumn id="15" xr3:uid="{00000000-0010-0000-0000-00000F000000}" name="Padre" totalsRowDxfId="183"/>
    <tableColumn id="16" xr3:uid="{00000000-0010-0000-0000-000010000000}" name="P al Nacer" totalsRowDxfId="182"/>
    <tableColumn id="17" xr3:uid="{00000000-0010-0000-0000-000011000000}" name="P. s/yoni" dataDxfId="181" totalsRowDxfId="180"/>
    <tableColumn id="18" xr3:uid="{00000000-0010-0000-0000-000012000000}" name="Comentarios" totalsRowDxfId="17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Partos" displayName="Partos" ref="A1:J79" totalsRowCount="1" headerRowDxfId="177" totalsRowDxfId="176" totalsRowBorderDxfId="175">
  <autoFilter ref="A1:J78" xr:uid="{00000000-0009-0000-0100-000004000000}"/>
  <sortState xmlns:xlrd2="http://schemas.microsoft.com/office/spreadsheetml/2017/richdata2" ref="A2:J43">
    <sortCondition ref="C1:C43"/>
  </sortState>
  <tableColumns count="10">
    <tableColumn id="4" xr3:uid="{00000000-0010-0000-0300-000004000000}" name="Columna1" dataDxfId="174" totalsRowDxfId="173"/>
    <tableColumn id="5" xr3:uid="{00000000-0010-0000-0300-000005000000}" name="Num Asigado" dataDxfId="172" totalsRowDxfId="171">
      <calculatedColumnFormula>CONCATENATE(RIGHT(YEAR(C2),2),Partos[[#This Row],[Columna1]])</calculatedColumnFormula>
    </tableColumn>
    <tableColumn id="1" xr3:uid="{00000000-0010-0000-0300-000001000000}" name="Fecha" totalsRowLabel="Total" dataDxfId="170" totalsRowDxfId="169"/>
    <tableColumn id="2" xr3:uid="{00000000-0010-0000-0300-000002000000}" name="Numero Vaca" totalsRowFunction="count" dataDxfId="168" totalsRowDxfId="167"/>
    <tableColumn id="6" xr3:uid="{00000000-0010-0000-0300-000006000000}" name="Nombre Madre" dataDxfId="166" totalsRowDxfId="165">
      <calculatedColumnFormula>VLOOKUP(Partos[[#This Row],[Numero Vaca]],Fichas[#All],2,FALSE)</calculatedColumnFormula>
    </tableColumn>
    <tableColumn id="7" xr3:uid="{00000000-0010-0000-0300-000007000000}" name="Sexo" dataDxfId="164" totalsRowDxfId="163"/>
    <tableColumn id="8" xr3:uid="{00000000-0010-0000-0300-000008000000}" name="Peso" dataDxfId="162" totalsRowDxfId="161"/>
    <tableColumn id="17" xr3:uid="{00000000-0010-0000-0300-000011000000}" name="Edad" dataDxfId="160" totalsRowDxfId="159">
      <calculatedColumnFormula>(TODAY()-C2)/30</calculatedColumnFormula>
    </tableColumn>
    <tableColumn id="13" xr3:uid="{00000000-0010-0000-0300-00000D000000}" name="Status" dataDxfId="158" totalsRowDxfId="157"/>
    <tableColumn id="16" xr3:uid="{00000000-0010-0000-0300-000010000000}" name="Observaciones" dataDxfId="156" totalsRowDxfId="15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Servicios" displayName="Servicios" ref="A3:L40" totalsRowShown="0" headerRowDxfId="154" dataDxfId="152" headerRowBorderDxfId="153" tableBorderDxfId="151" totalsRowBorderDxfId="150">
  <autoFilter ref="A3:L40" xr:uid="{00000000-0009-0000-0100-000006000000}"/>
  <tableColumns count="12">
    <tableColumn id="1" xr3:uid="{00000000-0010-0000-0800-000001000000}" name="indice" dataDxfId="149"/>
    <tableColumn id="2" xr3:uid="{00000000-0010-0000-0800-000002000000}" name="Fecha" dataDxfId="148"/>
    <tableColumn id="3" xr3:uid="{00000000-0010-0000-0800-000003000000}" name="No.Vaca" dataDxfId="147"/>
    <tableColumn id="4" xr3:uid="{00000000-0010-0000-0800-000004000000}" name="Nombre" dataDxfId="146"/>
    <tableColumn id="8" xr3:uid="{00000000-0010-0000-0800-000008000000}" name="Tipo" dataDxfId="145"/>
    <tableColumn id="5" xr3:uid="{00000000-0010-0000-0800-000005000000}" name="Toro" dataDxfId="144"/>
    <tableColumn id="7" xr3:uid="{00000000-0010-0000-0800-000007000000}" name="Raza" dataDxfId="143"/>
    <tableColumn id="6" xr3:uid="{00000000-0010-0000-0800-000006000000}" name="Observaciones" dataDxfId="142"/>
    <tableColumn id="9" xr3:uid="{9DDE37FA-E68F-4A54-8484-518A14C34686}" name="Proximo Celo" dataDxfId="141">
      <calculatedColumnFormula>Servicios[[#This Row],[Fecha]]+21</calculatedColumnFormula>
    </tableColumn>
    <tableColumn id="12" xr3:uid="{C78722F1-CD48-4C5A-B57B-2F59733E37C9}" name="Revisar el:" dataDxfId="140">
      <calculatedColumnFormula>Servicios[[#This Row],[Fecha]]+60</calculatedColumnFormula>
    </tableColumn>
    <tableColumn id="10" xr3:uid="{34882CAD-E3BA-416D-9A25-9D070A0E650D}" name="al dia de Hoy" dataDxfId="139">
      <calculatedColumnFormula>(TODAY()-Servicios[[#This Row],[Fecha]])/30</calculatedColumnFormula>
    </tableColumn>
    <tableColumn id="11" xr3:uid="{81E14EFB-951E-42F1-BB7E-9B5DCFF05C5F}" name="Columna1" dataDxfId="138">
      <calculatedColumnFormula>Servicios[[#This Row],[Fecha]]+283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Palpaciones" displayName="Palpaciones" ref="A3:F90" totalsRowShown="0" headerRowBorderDxfId="137" tableBorderDxfId="136" totalsRowBorderDxfId="135">
  <autoFilter ref="A3:F90" xr:uid="{00000000-0009-0000-0100-00000A000000}"/>
  <sortState xmlns:xlrd2="http://schemas.microsoft.com/office/spreadsheetml/2017/richdata2" ref="A4:F42">
    <sortCondition ref="A3:A42"/>
  </sortState>
  <tableColumns count="6">
    <tableColumn id="1" xr3:uid="{00000000-0010-0000-0A00-000001000000}" name="Fecha" dataDxfId="134"/>
    <tableColumn id="2" xr3:uid="{00000000-0010-0000-0A00-000002000000}" name="No. " dataDxfId="133"/>
    <tableColumn id="3" xr3:uid="{00000000-0010-0000-0A00-000003000000}" name="Nombre" dataDxfId="132"/>
    <tableColumn id="4" xr3:uid="{00000000-0010-0000-0A00-000004000000}" name="Palpacion" dataDxfId="131"/>
    <tableColumn id="5" xr3:uid="{00000000-0010-0000-0A00-000005000000}" name="Observaciones" dataDxfId="130"/>
    <tableColumn id="7" xr3:uid="{00000000-0010-0000-0A00-000007000000}" name="Veterinario" dataDxfId="12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Pesadas" displayName="Pesadas" ref="A3:D771" totalsRowShown="0" headerRowDxfId="128" dataDxfId="127">
  <tableColumns count="4">
    <tableColumn id="1" xr3:uid="{00000000-0010-0000-0600-000001000000}" name="Fecha" totalsRowDxfId="126"/>
    <tableColumn id="2" xr3:uid="{00000000-0010-0000-0600-000002000000}" name="Numero" dataDxfId="125" totalsRowDxfId="124"/>
    <tableColumn id="3" xr3:uid="{00000000-0010-0000-0600-000003000000}" name="Nombre" totalsRowDxfId="123"/>
    <tableColumn id="4" xr3:uid="{00000000-0010-0000-0600-000004000000}" name="Kg" totalsRowDxfId="122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255F80F-4101-4EA6-B592-AA5A23B5CBD1}" name="Tabla15" displayName="Tabla15" ref="G3:X21" totalsRowCount="1" headerRowDxfId="121" dataDxfId="120" tableBorderDxfId="119">
  <autoFilter ref="G3:X20" xr:uid="{2255F80F-4101-4EA6-B592-AA5A23B5CBD1}"/>
  <tableColumns count="18">
    <tableColumn id="1" xr3:uid="{A4F1B516-437C-4076-9429-3CD4A20F9C17}" name="No. " totalsRowLabel="Total" dataDxfId="118" totalsRowDxfId="117"/>
    <tableColumn id="2" xr3:uid="{1BD55BCD-7A3B-432C-B566-0C2AB2E6D6D7}" name="Nombre" dataDxfId="116" totalsRowDxfId="115"/>
    <tableColumn id="3" xr3:uid="{45F21469-977B-4A60-9523-74B615357B73}" name="U. Parto" dataDxfId="114" totalsRowDxfId="113">
      <calculatedColumnFormula>_xlfn.MAXIFS(Partos[Fecha],Partos[Numero Vaca],G4)</calculatedColumnFormula>
    </tableColumn>
    <tableColumn id="4" xr3:uid="{CD4CC48C-8C94-49C7-A22D-38F6F9E9EBF2}" name="Becerro" dataDxfId="112" totalsRowDxfId="111"/>
    <tableColumn id="5" xr3:uid="{8235DA6E-B5ED-4307-A552-6591A9EF0825}" name="21/8/2023" totalsRowFunction="sum" totalsRowDxfId="110"/>
    <tableColumn id="6" xr3:uid="{03D93B16-EFBF-4476-81FF-288B9875996C}" name="20/9/2023" totalsRowFunction="sum" totalsRowDxfId="109"/>
    <tableColumn id="7" xr3:uid="{062CD0BA-E218-4B29-B4CB-579052A91053}" name="20/10/2023" totalsRowFunction="sum" totalsRowDxfId="108"/>
    <tableColumn id="8" xr3:uid="{A8D89240-56FB-4491-A6AF-C1CAB75C0B8C}" name="20/11/2023" totalsRowFunction="sum" totalsRowDxfId="107"/>
    <tableColumn id="9" xr3:uid="{EB88C558-1CEC-49D2-BCCA-2DF7E335ADAB}" name="20/12/2023" totalsRowFunction="sum" totalsRowDxfId="106"/>
    <tableColumn id="10" xr3:uid="{C3B10DB1-5815-4424-9E92-BAC50EF3C0F9}" name="16/1/2024" totalsRowFunction="sum" totalsRowDxfId="105"/>
    <tableColumn id="11" xr3:uid="{62E2F716-9962-443F-966B-C5C371F03A5A}" name="31/1/2024" totalsRowFunction="sum" totalsRowDxfId="104"/>
    <tableColumn id="12" xr3:uid="{CCCC49A3-254F-4FEC-B79B-DF4F1E8A8B18}" name="16/2/2024" totalsRowFunction="sum" totalsRowDxfId="103"/>
    <tableColumn id="13" xr3:uid="{78365F3B-D342-4F1A-9874-CEA45848EDD1}" name="1/3/2024" totalsRowFunction="sum" dataDxfId="102" totalsRowDxfId="101"/>
    <tableColumn id="14" xr3:uid="{EB654027-7A3B-4A7D-826A-D6C8F12CE956}" name="15/3/2024" totalsRowFunction="sum" dataDxfId="100" totalsRowDxfId="99"/>
    <tableColumn id="15" xr3:uid="{B42FBE31-BCCF-4D05-92BD-B9A9C8050531}" name="1/4/2024" totalsRowFunction="sum" dataDxfId="98" totalsRowDxfId="97"/>
    <tableColumn id="16" xr3:uid="{6B48E3BE-45E7-412C-AE77-F4BB1266D464}" name="15/4/2024" totalsRowFunction="sum" dataDxfId="96" totalsRowDxfId="95"/>
    <tableColumn id="17" xr3:uid="{4839C554-B9A8-4A3A-A24D-CDBA4B3D768C}" name="30/4/2025" totalsRowFunction="sum" dataDxfId="94" totalsRowDxfId="93"/>
    <tableColumn id="19" xr3:uid="{0F16BD27-6EA6-4B87-9453-B247BB00B341}" name="15/5/2026" totalsRowFunction="sum" dataDxfId="92" totalsRowDxfId="9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Controlpesos2" displayName="Controlpesos2" ref="F3:K49" totalsRowCount="1" headerRowDxfId="90" dataDxfId="89" tableBorderDxfId="88" dataCellStyle="40% - Énfasis1">
  <autoFilter ref="F3:K48" xr:uid="{00000000-0009-0000-0100-000007000000}">
    <filterColumn colId="4">
      <filters>
        <filter val="Vivos"/>
      </filters>
    </filterColumn>
  </autoFilter>
  <sortState xmlns:xlrd2="http://schemas.microsoft.com/office/spreadsheetml/2017/richdata2" ref="F31:K38">
    <sortCondition ref="J3:J48"/>
  </sortState>
  <tableColumns count="6">
    <tableColumn id="1" xr3:uid="{00000000-0010-0000-0400-000001000000}" name="Numero" totalsRowLabel="Total" dataDxfId="87" totalsRowDxfId="86" dataCellStyle="40% - Énfasis1"/>
    <tableColumn id="2" xr3:uid="{00000000-0010-0000-0400-000002000000}" name="Nombre" dataDxfId="85" totalsRowDxfId="84" dataCellStyle="40% - Énfasis1">
      <calculatedColumnFormula>VLOOKUP(Controlpesos2[[#This Row],[Numero]],Fichas[#All],2,FALSE)</calculatedColumnFormula>
    </tableColumn>
    <tableColumn id="23" xr3:uid="{00000000-0010-0000-0400-000017000000}" name="Fecha Nac" dataDxfId="83" totalsRowDxfId="82" dataCellStyle="40% - Énfasis1">
      <calculatedColumnFormula>VLOOKUP(Controlpesos2[[#This Row],[Numero]],Fichas[#All],3,FALSE)</calculatedColumnFormula>
    </tableColumn>
    <tableColumn id="22" xr3:uid="{00000000-0010-0000-0400-000016000000}" name="Sexo" dataDxfId="81" totalsRowDxfId="80" dataCellStyle="40% - Énfasis1">
      <calculatedColumnFormula>VLOOKUP(Controlpesos2[[#This Row],[Numero]],Fichas[#All],4,FALSE)</calculatedColumnFormula>
    </tableColumn>
    <tableColumn id="24" xr3:uid="{00000000-0010-0000-0400-000018000000}" name="Tipo" totalsRowFunction="count" dataDxfId="79" totalsRowDxfId="78" dataCellStyle="40% - Énfasis1">
      <calculatedColumnFormula>VLOOKUP(Controlpesos2[[#This Row],[Numero]],Fichas[#All],8,FALSE)</calculatedColumnFormula>
    </tableColumn>
    <tableColumn id="21" xr3:uid="{00000000-0010-0000-0400-000015000000}" name="22/11/2023" totalsRowFunction="sum" dataDxfId="77" totalsRowDxfId="76" dataCellStyle="40% - Énfasis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5000000}" name="Controlpesos" displayName="Controlpesos" ref="A3:E68" totalsRowShown="0" tableBorderDxfId="75">
  <autoFilter ref="A3:E68" xr:uid="{00000000-0009-0000-0100-00000B000000}"/>
  <tableColumns count="5">
    <tableColumn id="1" xr3:uid="{00000000-0010-0000-0500-000001000000}" name="Fecha" dataDxfId="74"/>
    <tableColumn id="2" xr3:uid="{00000000-0010-0000-0500-000002000000}" name="Numero" dataDxfId="73"/>
    <tableColumn id="3" xr3:uid="{00000000-0010-0000-0500-000003000000}" name="Nombre" dataDxfId="72">
      <calculatedColumnFormula>VLOOKUP(Controlpesos[[#This Row],[Numero]],Fichas[#All],2,FALSE)</calculatedColumnFormula>
    </tableColumn>
    <tableColumn id="4" xr3:uid="{00000000-0010-0000-0500-000004000000}" name="Peso" dataDxfId="71"/>
    <tableColumn id="8" xr3:uid="{38B8A431-B49E-40C8-80C4-5BF3BF5AEF2A}" name="Columna1" dataDxfId="7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B000000}" name="Salidas" displayName="Salidas" ref="C4:J21" totalsRowCount="1" headerRowDxfId="69" dataDxfId="67" headerRowBorderDxfId="68" tableBorderDxfId="66" totalsRowBorderDxfId="65">
  <autoFilter ref="C4:J20" xr:uid="{00000000-0009-0000-0100-000005000000}"/>
  <tableColumns count="8">
    <tableColumn id="1" xr3:uid="{00000000-0010-0000-0B00-000001000000}" name="Fecha" totalsRowLabel="Total" dataDxfId="64" totalsRowDxfId="63"/>
    <tableColumn id="2" xr3:uid="{00000000-0010-0000-0B00-000002000000}" name="Numero" dataDxfId="62" totalsRowDxfId="61"/>
    <tableColumn id="3" xr3:uid="{00000000-0010-0000-0B00-000003000000}" name="Nombre" dataDxfId="60" totalsRowDxfId="59"/>
    <tableColumn id="4" xr3:uid="{00000000-0010-0000-0B00-000004000000}" name="Evento" dataDxfId="58" totalsRowDxfId="57"/>
    <tableColumn id="5" xr3:uid="{00000000-0010-0000-0B00-000005000000}" name="Peso" dataDxfId="56" totalsRowDxfId="55"/>
    <tableColumn id="6" xr3:uid="{00000000-0010-0000-0B00-000006000000}" name="Observaciones" totalsRowFunction="count" dataDxfId="54" totalsRowDxfId="53"/>
    <tableColumn id="7" xr3:uid="{F46F76DB-97F6-4DF5-AD6E-87D174FD3533}" name="Columna1" dataDxfId="52" totalsRowDxfId="51"/>
    <tableColumn id="8" xr3:uid="{D1BCA52E-BF74-4742-8D58-B619EC5ED0F6}" name="Columna2" dataDxfId="50" totalsRowDxfId="49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5:M84" totalsRowCount="1" dataDxfId="47" headerRowBorderDxfId="48" tableBorderDxfId="46" totalsRowBorderDxfId="45">
  <autoFilter ref="A5:M83" xr:uid="{00000000-0009-0000-0100-000003000000}"/>
  <sortState xmlns:xlrd2="http://schemas.microsoft.com/office/spreadsheetml/2017/richdata2" ref="A6:M83">
    <sortCondition ref="A5:A83"/>
  </sortState>
  <tableColumns count="13">
    <tableColumn id="1" xr3:uid="{00000000-0010-0000-0200-000001000000}" name="Fecha" totalsRowLabel="Total" dataDxfId="44" totalsRowDxfId="43"/>
    <tableColumn id="2" xr3:uid="{00000000-0010-0000-0200-000002000000}" name="Numero" dataDxfId="42" totalsRowDxfId="41"/>
    <tableColumn id="3" xr3:uid="{00000000-0010-0000-0200-000003000000}" name="Nombre" dataDxfId="40" totalsRowDxfId="39"/>
    <tableColumn id="4" xr3:uid="{00000000-0010-0000-0200-000004000000}" name="Columna1" dataDxfId="38" totalsRowDxfId="37"/>
    <tableColumn id="5" xr3:uid="{00000000-0010-0000-0200-000005000000}" name="Evento" dataDxfId="36" totalsRowDxfId="35"/>
    <tableColumn id="6" xr3:uid="{00000000-0010-0000-0200-000006000000}" name="Meses" dataDxfId="34" totalsRowDxfId="33">
      <calculatedColumnFormula>(TODAY()-A6)/30</calculatedColumnFormula>
    </tableColumn>
    <tableColumn id="7" xr3:uid="{00000000-0010-0000-0200-000007000000}" name="Resultado" dataDxfId="32" totalsRowDxfId="31"/>
    <tableColumn id="8" xr3:uid="{00000000-0010-0000-0200-000008000000}" name="Peso" dataDxfId="30" totalsRowDxfId="29"/>
    <tableColumn id="9" xr3:uid="{00000000-0010-0000-0200-000009000000}" name="Posible Parto" dataDxfId="28" totalsRowDxfId="27"/>
    <tableColumn id="10" xr3:uid="{00000000-0010-0000-0200-00000A000000}" name="Dias Gestac" dataDxfId="26" totalsRowDxfId="25"/>
    <tableColumn id="11" xr3:uid="{00000000-0010-0000-0200-00000B000000}" name="Interv/Partos" dataDxfId="24" totalsRowDxfId="23"/>
    <tableColumn id="12" xr3:uid="{00000000-0010-0000-0200-00000C000000}" name="Veterinario" dataDxfId="22" totalsRowDxfId="21"/>
    <tableColumn id="13" xr3:uid="{00000000-0010-0000-0200-00000D000000}" name="Columna3" totalsRowFunction="count" dataDxfId="20" totalsRowDxfId="19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2485A74-4371-4B8A-BF08-DF268D33C6DE}" name="Tabla14" displayName="Tabla14" ref="A3:I171" tableBorderDxfId="18">
  <autoFilter ref="A3:I171" xr:uid="{32485A74-4371-4B8A-BF08-DF268D33C6DE}"/>
  <tableColumns count="9">
    <tableColumn id="1" xr3:uid="{226CD747-D8F6-4471-8AD5-7FF606081E55}" name="Sem" totalsRowLabel="Total" dataDxfId="17" totalsRowDxfId="16"/>
    <tableColumn id="2" xr3:uid="{952095E8-475C-4209-B2D8-48689B6496AE}" name="Fecha" dataDxfId="15" totalsRowDxfId="14"/>
    <tableColumn id="3" xr3:uid="{87729DE9-6320-460D-984B-C43C0D294842}" name="Vacas" dataDxfId="13" totalsRowDxfId="12"/>
    <tableColumn id="4" xr3:uid="{A74BFFC9-B330-417B-A337-6D6FE07E4E6F}" name="Litrosde Leche" dataDxfId="11" totalsRowDxfId="10"/>
    <tableColumn id="5" xr3:uid="{77DBF7F3-B4F1-496B-9E9D-214DC131C6C0}" name="Peso Salm" dataDxfId="9" totalsRowDxfId="8"/>
    <tableColumn id="6" xr3:uid="{AFB158D4-AE6C-42DD-B128-308D61F4FB13}" name="Promedio" dataDxfId="7" totalsRowDxfId="6">
      <calculatedColumnFormula>IFERROR(Queso!$D4/Queso!$E4,"")</calculatedColumnFormula>
    </tableColumn>
    <tableColumn id="7" xr3:uid="{C252FDE7-7609-4BBE-A4F6-8D4BD5F9CD11}" name="Cliente" dataDxfId="5" totalsRowDxfId="4"/>
    <tableColumn id="8" xr3:uid="{335B16CB-77FB-4F7A-8C88-1FEFF76D7A22}" name="Precio" dataDxfId="3" totalsRowDxfId="2"/>
    <tableColumn id="9" xr3:uid="{ABB8D56D-DDB6-4D6D-A6D4-5F1EE32B5345}" name="Total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T85"/>
  <sheetViews>
    <sheetView showGridLines="0" topLeftCell="B1" zoomScale="82" zoomScaleNormal="82" workbookViewId="0">
      <selection activeCell="I22" sqref="I22"/>
    </sheetView>
  </sheetViews>
  <sheetFormatPr baseColWidth="10" defaultColWidth="10.7109375" defaultRowHeight="15" x14ac:dyDescent="0.25"/>
  <cols>
    <col min="1" max="1" width="9.85546875" customWidth="1"/>
    <col min="2" max="2" width="11.28515625" customWidth="1"/>
    <col min="3" max="3" width="19.28515625" customWidth="1"/>
    <col min="4" max="4" width="9.28515625" customWidth="1"/>
    <col min="5" max="5" width="12.28515625" customWidth="1"/>
    <col min="6" max="6" width="11" customWidth="1"/>
    <col min="7" max="7" width="11.5703125" style="1" customWidth="1"/>
    <col min="8" max="8" width="12.42578125" style="1" customWidth="1"/>
    <col min="9" max="9" width="11.5703125" style="1" customWidth="1"/>
    <col min="10" max="10" width="12.28515625" style="1" customWidth="1"/>
    <col min="11" max="11" width="11.7109375" style="1" customWidth="1"/>
    <col min="12" max="12" width="8" style="1" customWidth="1"/>
    <col min="13" max="13" width="13.5703125" customWidth="1"/>
    <col min="14" max="14" width="13" customWidth="1"/>
    <col min="15" max="15" width="14.42578125" customWidth="1"/>
    <col min="16" max="16" width="10.85546875" customWidth="1"/>
    <col min="17" max="17" width="12.42578125" customWidth="1"/>
    <col min="18" max="18" width="13.42578125" customWidth="1"/>
    <col min="19" max="19" width="12.140625" customWidth="1"/>
    <col min="20" max="20" width="13.7109375" customWidth="1"/>
    <col min="21" max="28" width="22.5703125" bestFit="1" customWidth="1"/>
    <col min="29" max="30" width="12.5703125" bestFit="1" customWidth="1"/>
    <col min="31" max="31" width="8.42578125" bestFit="1" customWidth="1"/>
    <col min="32" max="32" width="10.85546875" bestFit="1" customWidth="1"/>
    <col min="33" max="33" width="7.28515625" bestFit="1" customWidth="1"/>
    <col min="34" max="34" width="9.7109375" bestFit="1" customWidth="1"/>
    <col min="35" max="35" width="8.42578125" bestFit="1" customWidth="1"/>
    <col min="36" max="36" width="10.85546875" bestFit="1" customWidth="1"/>
    <col min="37" max="37" width="7.28515625" bestFit="1" customWidth="1"/>
    <col min="38" max="38" width="9.7109375" bestFit="1" customWidth="1"/>
    <col min="39" max="39" width="7.28515625" bestFit="1" customWidth="1"/>
    <col min="40" max="40" width="9.7109375" bestFit="1" customWidth="1"/>
    <col min="41" max="41" width="7.28515625" bestFit="1" customWidth="1"/>
    <col min="42" max="42" width="9.7109375" bestFit="1" customWidth="1"/>
    <col min="43" max="43" width="7.28515625" bestFit="1" customWidth="1"/>
    <col min="44" max="44" width="9.7109375" bestFit="1" customWidth="1"/>
    <col min="45" max="45" width="7.28515625" bestFit="1" customWidth="1"/>
    <col min="46" max="46" width="9.7109375" bestFit="1" customWidth="1"/>
    <col min="47" max="47" width="8.42578125" bestFit="1" customWidth="1"/>
    <col min="48" max="48" width="10.85546875" bestFit="1" customWidth="1"/>
    <col min="49" max="49" width="7.28515625" bestFit="1" customWidth="1"/>
    <col min="50" max="50" width="9.7109375" bestFit="1" customWidth="1"/>
    <col min="51" max="51" width="8.42578125" bestFit="1" customWidth="1"/>
    <col min="52" max="52" width="10.85546875" bestFit="1" customWidth="1"/>
    <col min="53" max="53" width="8.42578125" bestFit="1" customWidth="1"/>
    <col min="54" max="54" width="10.85546875" bestFit="1" customWidth="1"/>
    <col min="55" max="55" width="7.28515625" bestFit="1" customWidth="1"/>
    <col min="56" max="56" width="9.7109375" bestFit="1" customWidth="1"/>
    <col min="57" max="57" width="8.42578125" bestFit="1" customWidth="1"/>
    <col min="58" max="58" width="10.85546875" bestFit="1" customWidth="1"/>
    <col min="59" max="59" width="7.28515625" bestFit="1" customWidth="1"/>
    <col min="60" max="60" width="9.7109375" bestFit="1" customWidth="1"/>
    <col min="61" max="61" width="8.42578125" bestFit="1" customWidth="1"/>
    <col min="62" max="62" width="10.85546875" bestFit="1" customWidth="1"/>
    <col min="63" max="63" width="8.42578125" bestFit="1" customWidth="1"/>
    <col min="64" max="64" width="10.85546875" bestFit="1" customWidth="1"/>
    <col min="65" max="65" width="7.28515625" bestFit="1" customWidth="1"/>
    <col min="66" max="66" width="9.7109375" bestFit="1" customWidth="1"/>
    <col min="67" max="67" width="7.28515625" bestFit="1" customWidth="1"/>
    <col min="68" max="68" width="9.7109375" bestFit="1" customWidth="1"/>
    <col min="69" max="69" width="7.28515625" bestFit="1" customWidth="1"/>
    <col min="70" max="70" width="9.7109375" bestFit="1" customWidth="1"/>
    <col min="71" max="71" width="8.42578125" bestFit="1" customWidth="1"/>
    <col min="72" max="72" width="10.85546875" bestFit="1" customWidth="1"/>
    <col min="73" max="73" width="6.140625" bestFit="1" customWidth="1"/>
    <col min="74" max="74" width="8.7109375" bestFit="1" customWidth="1"/>
    <col min="75" max="75" width="8.42578125" bestFit="1" customWidth="1"/>
    <col min="76" max="76" width="10.85546875" bestFit="1" customWidth="1"/>
    <col min="77" max="77" width="8.42578125" bestFit="1" customWidth="1"/>
    <col min="78" max="78" width="10.85546875" bestFit="1" customWidth="1"/>
    <col min="79" max="79" width="9.5703125" bestFit="1" customWidth="1"/>
    <col min="80" max="80" width="12" bestFit="1" customWidth="1"/>
    <col min="81" max="81" width="9.5703125" bestFit="1" customWidth="1"/>
    <col min="82" max="82" width="12" bestFit="1" customWidth="1"/>
    <col min="83" max="83" width="12.5703125" bestFit="1" customWidth="1"/>
  </cols>
  <sheetData>
    <row r="1" spans="1:20" ht="15.75" thickBot="1" x14ac:dyDescent="0.3">
      <c r="A1" s="435"/>
      <c r="B1" s="439"/>
      <c r="C1" s="440"/>
      <c r="D1" s="441"/>
      <c r="E1" s="1"/>
      <c r="F1" t="s">
        <v>710</v>
      </c>
      <c r="G1"/>
      <c r="J1"/>
      <c r="K1" s="124"/>
      <c r="M1" s="387"/>
      <c r="N1" s="145"/>
      <c r="O1" s="547" t="s">
        <v>709</v>
      </c>
    </row>
    <row r="2" spans="1:20" ht="16.5" thickBot="1" x14ac:dyDescent="0.3">
      <c r="A2" s="449"/>
      <c r="B2" s="439" t="s">
        <v>332</v>
      </c>
      <c r="C2" s="439" t="s">
        <v>101</v>
      </c>
      <c r="D2" s="439" t="s">
        <v>214</v>
      </c>
      <c r="E2" s="1"/>
      <c r="G2"/>
      <c r="H2" s="450" t="s">
        <v>469</v>
      </c>
      <c r="I2" s="451" t="s">
        <v>547</v>
      </c>
      <c r="J2" s="452"/>
      <c r="K2" s="451" t="s">
        <v>600</v>
      </c>
      <c r="L2" s="452"/>
      <c r="M2" s="451" t="s">
        <v>601</v>
      </c>
      <c r="N2" s="452"/>
      <c r="O2" s="480" t="s">
        <v>599</v>
      </c>
      <c r="P2" s="481"/>
      <c r="Q2" s="481"/>
      <c r="R2" s="481"/>
      <c r="S2" s="484" t="s">
        <v>11</v>
      </c>
      <c r="T2" s="484" t="s">
        <v>603</v>
      </c>
    </row>
    <row r="3" spans="1:20" ht="15.75" thickBot="1" x14ac:dyDescent="0.3">
      <c r="A3" s="453"/>
      <c r="B3" s="150" t="s">
        <v>0</v>
      </c>
      <c r="C3" s="150" t="s">
        <v>515</v>
      </c>
      <c r="D3" s="151" t="s">
        <v>26</v>
      </c>
      <c r="E3" s="151" t="s">
        <v>213</v>
      </c>
      <c r="F3" s="151" t="s">
        <v>45</v>
      </c>
      <c r="G3" s="302" t="s">
        <v>331</v>
      </c>
      <c r="H3" s="208">
        <f>_xlfn.MAXIFS(Controlpesos[Fecha],Controlpesos[Numero],B28)</f>
        <v>45252</v>
      </c>
      <c r="I3" s="312" t="s">
        <v>12</v>
      </c>
      <c r="J3" s="535" t="s">
        <v>595</v>
      </c>
      <c r="K3" s="312" t="s">
        <v>12</v>
      </c>
      <c r="L3" s="280" t="s">
        <v>299</v>
      </c>
      <c r="M3" s="280" t="s">
        <v>12</v>
      </c>
      <c r="N3" s="425" t="s">
        <v>25</v>
      </c>
      <c r="O3" s="280" t="s">
        <v>598</v>
      </c>
      <c r="P3" s="425" t="s">
        <v>16</v>
      </c>
      <c r="Q3" s="482" t="s">
        <v>719</v>
      </c>
      <c r="R3" s="482" t="s">
        <v>603</v>
      </c>
      <c r="S3" s="485" t="s">
        <v>640</v>
      </c>
      <c r="T3" s="485"/>
    </row>
    <row r="4" spans="1:20" x14ac:dyDescent="0.25">
      <c r="A4" s="448">
        <f t="shared" ref="A4:A22" ca="1" si="0">IF(B4&lt;&gt;"",A3+1,"")</f>
        <v>1</v>
      </c>
      <c r="B4" s="552" t="str" cm="1">
        <f t="array" aca="1" ref="B4:G23" ca="1">_xlfn._xlws.SORT(_xlfn._xlws.FILTER(CHOOSE({1,2,3,6,5,4},Fichas[Numero],Fichas[Nombre],Fichas[Sexo],Fichas[Tipo],CONCATENATE(TRUNC((TODAY()-Fichas[F Nacimiento])/365,1)," Años "),Fichas[Lote]),(Fichas[Tipo]=B2)*(Fichas[Status]="Vivos" ),"No Encontrado"),1)</f>
        <v>020193</v>
      </c>
      <c r="C4" s="553" t="str">
        <f ca="1"/>
        <v>Maria Jose</v>
      </c>
      <c r="D4" s="444" t="str">
        <f ca="1"/>
        <v>Hembra</v>
      </c>
      <c r="E4" s="95" t="str">
        <f ca="1"/>
        <v>Ordeño</v>
      </c>
      <c r="F4" s="444" t="str">
        <f ca="1"/>
        <v xml:space="preserve">6,2 Años </v>
      </c>
      <c r="G4" s="444" t="str">
        <f ca="1"/>
        <v>Vaca</v>
      </c>
      <c r="H4" s="40">
        <f ca="1">_xlfn.MAXIFS(Controlpesos[Peso],Controlpesos[Numero],B4)</f>
        <v>466</v>
      </c>
      <c r="I4" s="6">
        <f ca="1">IF(_xlfn.MAXIFS(Partos[Fecha],Partos[Numero Vaca],B4)=0,"",_xlfn.MAXIFS(Partos[Fecha],Partos[Numero Vaca],B4))</f>
        <v>45678</v>
      </c>
      <c r="J4" s="426">
        <f ca="1">(TODAY()-I4)/30</f>
        <v>13.633333333333333</v>
      </c>
      <c r="K4" s="6">
        <f ca="1">_xlfn.MAXIFS(Pesadas[Fecha],Pesadas[Numero],B4)</f>
        <v>45976</v>
      </c>
      <c r="L4" s="40" cm="1">
        <f t="array" aca="1" ref="L4" ca="1">_xlfn._xlws.FILTER(CHOOSE({3},Pesadas[Fecha],Pesadas[Numero],Pesadas[Kg]),(Pesadas[Fecha]=_xlfn.MAXIFS(Pesadas[Fecha],Pesadas[Numero],B4))*(Pesadas[Numero]=B4),"S/R")</f>
        <v>0</v>
      </c>
      <c r="M4" s="6" t="str">
        <f ca="1">IF((_xlfn.MAXIFS(Servicios[[#All],[Fecha]],Servicios[[#All],[No.Vaca]],B4))&gt;0,_xlfn.MAXIFS(Servicios[[#All],[Fecha]],Servicios[[#All],[No.Vaca]],B4),"s/serv")</f>
        <v>s/serv</v>
      </c>
      <c r="N4" s="6" t="str" cm="1">
        <f t="array" aca="1" ref="N4" ca="1">_xlfn._xlws.FILTER(CHOOSE({3},Servicios[Fecha],Servicios[No.Vaca],Servicios[Toro]),(Servicios[No.Vaca]=B4)*(Servicios[Fecha]=M4),"S/R")</f>
        <v>S/R</v>
      </c>
      <c r="O4" s="6">
        <f ca="1">IF(_xlfn.MAXIFS(Palpaciones[Fecha],Palpaciones[No. ],B4)&lt;&gt;0,_xlfn.MAXIFS(Palpaciones[Fecha],Palpaciones[No. ],B4),"sin Registro")</f>
        <v>45836</v>
      </c>
      <c r="P4" s="426" cm="1">
        <f t="array" aca="1" ref="P4" ca="1">IF(O4="por Palpar","por Palpar",_xlfn._xlws.FILTER(CHOOSE({3},Palpaciones[Fecha],Palpaciones[No. ],Palpaciones[Palpacion]),(Palpaciones[Fecha]=_xlfn.MAXIFS(Palpaciones[Fecha],Palpaciones[No. ],B4))*(Palpaciones[No. ]=B4),"S/Reg"))</f>
        <v>1.5</v>
      </c>
      <c r="Q4" s="6">
        <f ca="1">IFERROR((O4-(P4*30)+285),"Vacia")</f>
        <v>46076</v>
      </c>
      <c r="R4" s="426">
        <f t="shared" ref="R4:R22" ca="1" si="1">IFERROR(((TODAY()-O4)+(P4*30))/30,"Vacia")</f>
        <v>9.8666666666666671</v>
      </c>
      <c r="S4" s="483" t="str">
        <f ca="1">IFERROR(M4+283,"Vacia")</f>
        <v>Vacia</v>
      </c>
      <c r="T4" s="426" t="str">
        <f t="shared" ref="T4:T21" ca="1" si="2">IFERROR(((TODAY()-M4)/30),CONCATENATE("Dias ab ",(TODAY()-I4)))</f>
        <v>Dias ab 409</v>
      </c>
    </row>
    <row r="5" spans="1:20" x14ac:dyDescent="0.25">
      <c r="A5" s="448">
        <f t="shared" ca="1" si="0"/>
        <v>2</v>
      </c>
      <c r="B5" s="552" t="str">
        <f ca="1"/>
        <v>15106</v>
      </c>
      <c r="C5" s="553" t="str">
        <f ca="1"/>
        <v>LA YEGUA</v>
      </c>
      <c r="D5" s="444" t="str">
        <f ca="1"/>
        <v>Hembra</v>
      </c>
      <c r="E5" s="95" t="str">
        <f ca="1"/>
        <v>Ordeño</v>
      </c>
      <c r="F5" s="444" t="str">
        <f ca="1"/>
        <v xml:space="preserve">11,1 Años </v>
      </c>
      <c r="G5" s="444" t="str">
        <f ca="1"/>
        <v>Vaca</v>
      </c>
      <c r="H5" s="40">
        <f ca="1">_xlfn.MAXIFS(Controlpesos[Peso],Controlpesos[Numero],B5)</f>
        <v>517</v>
      </c>
      <c r="I5" s="6">
        <f ca="1">IF(_xlfn.MAXIFS(Partos[Fecha],Partos[Numero Vaca],B5)=0,"",_xlfn.MAXIFS(Partos[Fecha],Partos[Numero Vaca],B5))</f>
        <v>45953</v>
      </c>
      <c r="J5" s="426">
        <f t="shared" ref="J5:J15" ca="1" si="3">(TODAY()-I5)/30</f>
        <v>4.4666666666666668</v>
      </c>
      <c r="K5" s="6">
        <f ca="1">_xlfn.MAXIFS(Pesadas[Fecha],Pesadas[Numero],B5)</f>
        <v>45976</v>
      </c>
      <c r="L5" s="40" cm="1">
        <f t="array" aca="1" ref="L5" ca="1">_xlfn._xlws.FILTER(CHOOSE({3},Pesadas[Fecha],Pesadas[Numero],Pesadas[Kg]),(Pesadas[Fecha]=_xlfn.MAXIFS(Pesadas[Fecha],Pesadas[Numero],B5))*(Pesadas[Numero]=B5),"S/R")</f>
        <v>4.08</v>
      </c>
      <c r="M5" s="6">
        <f ca="1">IF((_xlfn.MAXIFS(Servicios[[#All],[Fecha]],Servicios[[#All],[No.Vaca]],B5))&gt;0,_xlfn.MAXIFS(Servicios[[#All],[Fecha]],Servicios[[#All],[No.Vaca]],B5),"s/serv")</f>
        <v>45672</v>
      </c>
      <c r="N5" s="6" t="str" cm="1">
        <f t="array" aca="1" ref="N5" ca="1">_xlfn._xlws.FILTER(CHOOSE({3},Servicios[Fecha],Servicios[No.Vaca],Servicios[Toro]),(Servicios[No.Vaca]=B5)*(Servicios[Fecha]=M5),"S/R")</f>
        <v>Toro Pocho</v>
      </c>
      <c r="O5" s="6">
        <f ca="1">IF(_xlfn.MAXIFS(Palpaciones[Fecha],Palpaciones[No. ],B5)&lt;&gt;0,_xlfn.MAXIFS(Palpaciones[Fecha],Palpaciones[No. ],B5),"sin Registro")</f>
        <v>45836</v>
      </c>
      <c r="P5" s="426" cm="1">
        <f t="array" aca="1" ref="P5" ca="1">IF(O5="por Palpar","por Palpar",_xlfn._xlws.FILTER(CHOOSE({3},Palpaciones[Fecha],Palpaciones[No. ],Palpaciones[Palpacion]),(Palpaciones[Fecha]=_xlfn.MAXIFS(Palpaciones[Fecha],Palpaciones[No. ],B5))*(Palpaciones[No. ]=B5),"S/Reg"))</f>
        <v>4</v>
      </c>
      <c r="Q5" s="6">
        <f t="shared" ref="Q5:Q22" ca="1" si="4">IFERROR((O5-(P5*30)+285),"Vacia")</f>
        <v>46001</v>
      </c>
      <c r="R5" s="426">
        <f t="shared" ca="1" si="1"/>
        <v>12.366666666666667</v>
      </c>
      <c r="S5" s="483">
        <f t="shared" ref="S5:S22" ca="1" si="5">IFERROR(M5+283,"Vacia")</f>
        <v>45955</v>
      </c>
      <c r="T5" s="426">
        <f t="shared" ca="1" si="2"/>
        <v>13.833333333333334</v>
      </c>
    </row>
    <row r="6" spans="1:20" x14ac:dyDescent="0.25">
      <c r="A6" s="448">
        <f t="shared" ca="1" si="0"/>
        <v>3</v>
      </c>
      <c r="B6" s="39" t="str">
        <f ca="1"/>
        <v>15701</v>
      </c>
      <c r="C6" s="554" t="str">
        <f ca="1"/>
        <v>OJOS NEGROS</v>
      </c>
      <c r="D6" s="444" t="str">
        <f ca="1"/>
        <v>Hembra</v>
      </c>
      <c r="E6" s="95" t="str">
        <f ca="1"/>
        <v>Ordeño</v>
      </c>
      <c r="F6" s="444" t="str">
        <f ca="1"/>
        <v xml:space="preserve">11,1 Años </v>
      </c>
      <c r="G6" s="444" t="str">
        <f ca="1"/>
        <v>Vaca</v>
      </c>
      <c r="H6" s="40">
        <f ca="1">_xlfn.MAXIFS(Controlpesos[Peso],Controlpesos[Numero],B6)</f>
        <v>558</v>
      </c>
      <c r="I6" s="6">
        <f ca="1">IF(_xlfn.MAXIFS(Partos[Fecha],Partos[Numero Vaca],B6)=0,"",_xlfn.MAXIFS(Partos[Fecha],Partos[Numero Vaca],B6))</f>
        <v>45649</v>
      </c>
      <c r="J6" s="426">
        <f t="shared" ca="1" si="3"/>
        <v>14.6</v>
      </c>
      <c r="K6" s="6">
        <f ca="1">_xlfn.MAXIFS(Pesadas[Fecha],Pesadas[Numero],B6)</f>
        <v>45976</v>
      </c>
      <c r="L6" s="40" cm="1">
        <f t="array" aca="1" ref="L6" ca="1">_xlfn._xlws.FILTER(CHOOSE({3},Pesadas[Fecha],Pesadas[Numero],Pesadas[Kg]),(Pesadas[Fecha]=_xlfn.MAXIFS(Pesadas[Fecha],Pesadas[Numero],B6))*(Pesadas[Numero]=B6),"S/R")</f>
        <v>0</v>
      </c>
      <c r="M6" s="6">
        <f ca="1">IF((_xlfn.MAXIFS(Servicios[[#All],[Fecha]],Servicios[[#All],[No.Vaca]],B6))&gt;0,_xlfn.MAXIFS(Servicios[[#All],[Fecha]],Servicios[[#All],[No.Vaca]],B6),"s/serv")</f>
        <v>45734</v>
      </c>
      <c r="N6" s="6" t="str" cm="1">
        <f t="array" aca="1" ref="N6" ca="1">_xlfn._xlws.FILTER(CHOOSE({3},Servicios[Fecha],Servicios[No.Vaca],Servicios[Toro]),(Servicios[No.Vaca]=B6)*(Servicios[Fecha]=M6),"S/R")</f>
        <v>9009 Sicario</v>
      </c>
      <c r="O6" s="6">
        <f ca="1">IF(_xlfn.MAXIFS(Palpaciones[Fecha],Palpaciones[No. ],B6)&lt;&gt;0,_xlfn.MAXIFS(Palpaciones[Fecha],Palpaciones[No. ],B6),"sin Registro")</f>
        <v>45836</v>
      </c>
      <c r="P6" s="426" cm="1">
        <f t="array" aca="1" ref="P6" ca="1">IF(O6="por Palpar","por Palpar",_xlfn._xlws.FILTER(CHOOSE({3},Palpaciones[Fecha],Palpaciones[No. ],Palpaciones[Palpacion]),(Palpaciones[Fecha]=_xlfn.MAXIFS(Palpaciones[Fecha],Palpaciones[No. ],B6))*(Palpaciones[No. ]=B6),"S/Reg"))</f>
        <v>2</v>
      </c>
      <c r="Q6" s="6">
        <f t="shared" ca="1" si="4"/>
        <v>46061</v>
      </c>
      <c r="R6" s="426">
        <f t="shared" ca="1" si="1"/>
        <v>10.366666666666667</v>
      </c>
      <c r="S6" s="483">
        <f t="shared" ca="1" si="5"/>
        <v>46017</v>
      </c>
      <c r="T6" s="426">
        <f t="shared" ca="1" si="2"/>
        <v>11.766666666666667</v>
      </c>
    </row>
    <row r="7" spans="1:20" x14ac:dyDescent="0.25">
      <c r="A7" s="448">
        <f t="shared" ca="1" si="0"/>
        <v>4</v>
      </c>
      <c r="B7" s="39" t="str">
        <f ca="1"/>
        <v>18004</v>
      </c>
      <c r="C7" s="554" t="str">
        <f ca="1"/>
        <v>Esperanza</v>
      </c>
      <c r="D7" s="444" t="str">
        <f ca="1"/>
        <v>Hembra</v>
      </c>
      <c r="E7" s="95" t="str">
        <f ca="1"/>
        <v>Ordeño</v>
      </c>
      <c r="F7" s="444" t="str">
        <f ca="1"/>
        <v xml:space="preserve">7,6 Años </v>
      </c>
      <c r="G7" s="444" t="str">
        <f ca="1"/>
        <v>Vaca</v>
      </c>
      <c r="H7" s="40">
        <f ca="1">_xlfn.MAXIFS(Controlpesos[Peso],Controlpesos[Numero],B7)</f>
        <v>415</v>
      </c>
      <c r="I7" s="6">
        <f ca="1">IF(_xlfn.MAXIFS(Partos[Fecha],Partos[Numero Vaca],B7)=0,"",_xlfn.MAXIFS(Partos[Fecha],Partos[Numero Vaca],B7))</f>
        <v>45950</v>
      </c>
      <c r="J7" s="426">
        <f t="shared" ca="1" si="3"/>
        <v>4.5666666666666664</v>
      </c>
      <c r="K7" s="6">
        <f ca="1">_xlfn.MAXIFS(Pesadas[Fecha],Pesadas[Numero],B7)</f>
        <v>45976</v>
      </c>
      <c r="L7" s="40" cm="1">
        <f t="array" aca="1" ref="L7" ca="1">_xlfn._xlws.FILTER(CHOOSE({3},Pesadas[Fecha],Pesadas[Numero],Pesadas[Kg]),(Pesadas[Fecha]=_xlfn.MAXIFS(Pesadas[Fecha],Pesadas[Numero],B7))*(Pesadas[Numero]=B7),"S/R")</f>
        <v>4.5599999999999996</v>
      </c>
      <c r="M7" s="6">
        <f ca="1">IF((_xlfn.MAXIFS(Servicios[[#All],[Fecha]],Servicios[[#All],[No.Vaca]],B7))&gt;0,_xlfn.MAXIFS(Servicios[[#All],[Fecha]],Servicios[[#All],[No.Vaca]],B7),"s/serv")</f>
        <v>45498</v>
      </c>
      <c r="N7" s="6" t="str" cm="1">
        <f t="array" aca="1" ref="N7" ca="1">_xlfn._xlws.FILTER(CHOOSE({3},Servicios[Fecha],Servicios[No.Vaca],Servicios[Toro]),(Servicios[No.Vaca]=B7)*(Servicios[Fecha]=M7),"S/R")</f>
        <v>Toro Pocho</v>
      </c>
      <c r="O7" s="6">
        <f ca="1">IF(_xlfn.MAXIFS(Palpaciones[Fecha],Palpaciones[No. ],B7)&lt;&gt;0,_xlfn.MAXIFS(Palpaciones[Fecha],Palpaciones[No. ],B7),"sin Registro")</f>
        <v>45836</v>
      </c>
      <c r="P7" s="426" cm="1">
        <f t="array" aca="1" ref="P7" ca="1">IF(O7="por Palpar","por Palpar",_xlfn._xlws.FILTER(CHOOSE({3},Palpaciones[Fecha],Palpaciones[No. ],Palpaciones[Palpacion]),(Palpaciones[Fecha]=_xlfn.MAXIFS(Palpaciones[Fecha],Palpaciones[No. ],B7))*(Palpaciones[No. ]=B7),"S/Reg"))</f>
        <v>6</v>
      </c>
      <c r="Q7" s="6">
        <f t="shared" ca="1" si="4"/>
        <v>45941</v>
      </c>
      <c r="R7" s="426">
        <f t="shared" ca="1" si="1"/>
        <v>14.366666666666667</v>
      </c>
      <c r="S7" s="483">
        <f t="shared" ca="1" si="5"/>
        <v>45781</v>
      </c>
      <c r="T7" s="426">
        <f t="shared" ca="1" si="2"/>
        <v>19.633333333333333</v>
      </c>
    </row>
    <row r="8" spans="1:20" x14ac:dyDescent="0.25">
      <c r="A8" s="448">
        <f t="shared" ca="1" si="0"/>
        <v>5</v>
      </c>
      <c r="B8" s="39" t="str">
        <f ca="1"/>
        <v>184585</v>
      </c>
      <c r="C8" s="554" t="str">
        <f ca="1"/>
        <v>TRANCO LARGO</v>
      </c>
      <c r="D8" s="444" t="str">
        <f ca="1"/>
        <v>Hembra</v>
      </c>
      <c r="E8" s="95" t="str">
        <f ca="1"/>
        <v>Ordeño</v>
      </c>
      <c r="F8" s="444" t="str">
        <f ca="1"/>
        <v xml:space="preserve">8,1 Años </v>
      </c>
      <c r="G8" s="444" t="str">
        <f ca="1"/>
        <v>Vaca</v>
      </c>
      <c r="H8" s="40">
        <f ca="1">_xlfn.MAXIFS(Controlpesos[Peso],Controlpesos[Numero],B8)</f>
        <v>524</v>
      </c>
      <c r="I8" s="6">
        <f ca="1">IF(_xlfn.MAXIFS(Partos[Fecha],Partos[Numero Vaca],B8)=0,"",_xlfn.MAXIFS(Partos[Fecha],Partos[Numero Vaca],B8))</f>
        <v>45892</v>
      </c>
      <c r="J8" s="426">
        <f t="shared" ca="1" si="3"/>
        <v>6.5</v>
      </c>
      <c r="K8" s="6">
        <f ca="1">_xlfn.MAXIFS(Pesadas[Fecha],Pesadas[Numero],B8)</f>
        <v>45976</v>
      </c>
      <c r="L8" s="40" cm="1">
        <f t="array" aca="1" ref="L8" ca="1">_xlfn._xlws.FILTER(CHOOSE({3},Pesadas[Fecha],Pesadas[Numero],Pesadas[Kg]),(Pesadas[Fecha]=_xlfn.MAXIFS(Pesadas[Fecha],Pesadas[Numero],B8))*(Pesadas[Numero]=B8),"S/R")</f>
        <v>4.4249999999999998</v>
      </c>
      <c r="M8" s="6">
        <f ca="1">IF((_xlfn.MAXIFS(Servicios[[#All],[Fecha]],Servicios[[#All],[No.Vaca]],B8))&gt;0,_xlfn.MAXIFS(Servicios[[#All],[Fecha]],Servicios[[#All],[No.Vaca]],B8),"s/serv")</f>
        <v>45919</v>
      </c>
      <c r="N8" s="6" t="str" cm="1">
        <f t="array" aca="1" ref="N8" ca="1">_xlfn._xlws.FILTER(CHOOSE({3},Servicios[Fecha],Servicios[No.Vaca],Servicios[Toro]),(Servicios[No.Vaca]=B8)*(Servicios[Fecha]=M8),"S/R")</f>
        <v>9009 Sicario</v>
      </c>
      <c r="O8" s="6">
        <f ca="1">IF(_xlfn.MAXIFS(Palpaciones[Fecha],Palpaciones[No. ],B8)&lt;&gt;0,_xlfn.MAXIFS(Palpaciones[Fecha],Palpaciones[No. ],B8),"sin Registro")</f>
        <v>45836</v>
      </c>
      <c r="P8" s="426" cm="1">
        <f t="array" aca="1" ref="P8" ca="1">IF(O8="por Palpar","por Palpar",_xlfn._xlws.FILTER(CHOOSE({3},Palpaciones[Fecha],Palpaciones[No. ],Palpaciones[Palpacion]),(Palpaciones[Fecha]=_xlfn.MAXIFS(Palpaciones[Fecha],Palpaciones[No. ],B8))*(Palpaciones[No. ]=B8),"S/Reg"))</f>
        <v>6</v>
      </c>
      <c r="Q8" s="6">
        <f t="shared" ca="1" si="4"/>
        <v>45941</v>
      </c>
      <c r="R8" s="426">
        <f t="shared" ca="1" si="1"/>
        <v>14.366666666666667</v>
      </c>
      <c r="S8" s="483">
        <f t="shared" ca="1" si="5"/>
        <v>46202</v>
      </c>
      <c r="T8" s="426">
        <f t="shared" ca="1" si="2"/>
        <v>5.6</v>
      </c>
    </row>
    <row r="9" spans="1:20" x14ac:dyDescent="0.25">
      <c r="A9" s="448">
        <f t="shared" ca="1" si="0"/>
        <v>6</v>
      </c>
      <c r="B9" s="39" t="str">
        <f ca="1"/>
        <v>20010</v>
      </c>
      <c r="C9" s="554" t="str">
        <f ca="1"/>
        <v>Carapachita</v>
      </c>
      <c r="D9" s="444" t="str">
        <f ca="1"/>
        <v>Hembra</v>
      </c>
      <c r="E9" s="95" t="str">
        <f ca="1"/>
        <v>Ordeño</v>
      </c>
      <c r="F9" s="444" t="str">
        <f ca="1"/>
        <v xml:space="preserve">5,9 Años </v>
      </c>
      <c r="G9" s="444" t="str">
        <f ca="1"/>
        <v>Vaca</v>
      </c>
      <c r="H9" s="40">
        <f ca="1">_xlfn.MAXIFS(Controlpesos[Peso],Controlpesos[Numero],B9)</f>
        <v>464</v>
      </c>
      <c r="I9" s="6">
        <f ca="1">IF(_xlfn.MAXIFS(Partos[Fecha],Partos[Numero Vaca],B9)=0,"",_xlfn.MAXIFS(Partos[Fecha],Partos[Numero Vaca],B9))</f>
        <v>45684</v>
      </c>
      <c r="J9" s="426">
        <f t="shared" ca="1" si="3"/>
        <v>13.433333333333334</v>
      </c>
      <c r="K9" s="6">
        <f ca="1">_xlfn.MAXIFS(Pesadas[Fecha],Pesadas[Numero],B9)</f>
        <v>45976</v>
      </c>
      <c r="L9" s="40" cm="1">
        <f t="array" aca="1" ref="L9" ca="1">_xlfn._xlws.FILTER(CHOOSE({3},Pesadas[Fecha],Pesadas[Numero],Pesadas[Kg]),(Pesadas[Fecha]=_xlfn.MAXIFS(Pesadas[Fecha],Pesadas[Numero],B9))*(Pesadas[Numero]=B9),"S/R")</f>
        <v>1.35</v>
      </c>
      <c r="M9" s="6">
        <f ca="1">IF((_xlfn.MAXIFS(Servicios[[#All],[Fecha]],Servicios[[#All],[No.Vaca]],B9))&gt;0,_xlfn.MAXIFS(Servicios[[#All],[Fecha]],Servicios[[#All],[No.Vaca]],B9),"s/serv")</f>
        <v>45749</v>
      </c>
      <c r="N9" s="6" t="str" cm="1">
        <f t="array" aca="1" ref="N9" ca="1">_xlfn._xlws.FILTER(CHOOSE({3},Servicios[Fecha],Servicios[No.Vaca],Servicios[Toro]),(Servicios[No.Vaca]=B9)*(Servicios[Fecha]=M9),"S/R")</f>
        <v>9009 Sicario</v>
      </c>
      <c r="O9" s="6">
        <f ca="1">IF(_xlfn.MAXIFS(Palpaciones[Fecha],Palpaciones[No. ],B9)&lt;&gt;0,_xlfn.MAXIFS(Palpaciones[Fecha],Palpaciones[No. ],B9),"sin Registro")</f>
        <v>45836</v>
      </c>
      <c r="P9" s="426" cm="1">
        <f t="array" aca="1" ref="P9" ca="1">IF(O9="por Palpar","por Palpar",_xlfn._xlws.FILTER(CHOOSE({3},Palpaciones[Fecha],Palpaciones[No. ],Palpaciones[Palpacion]),(Palpaciones[Fecha]=_xlfn.MAXIFS(Palpaciones[Fecha],Palpaciones[No. ],B9))*(Palpaciones[No. ]=B9),"S/Reg"))</f>
        <v>2.66</v>
      </c>
      <c r="Q9" s="6">
        <f t="shared" ca="1" si="4"/>
        <v>46041.2</v>
      </c>
      <c r="R9" s="426">
        <f t="shared" ca="1" si="1"/>
        <v>11.026666666666667</v>
      </c>
      <c r="S9" s="483">
        <f t="shared" ca="1" si="5"/>
        <v>46032</v>
      </c>
      <c r="T9" s="426">
        <f t="shared" ca="1" si="2"/>
        <v>11.266666666666667</v>
      </c>
    </row>
    <row r="10" spans="1:20" x14ac:dyDescent="0.25">
      <c r="A10" s="448">
        <f t="shared" ca="1" si="0"/>
        <v>7</v>
      </c>
      <c r="B10" s="39" t="str">
        <f ca="1"/>
        <v>20011</v>
      </c>
      <c r="C10" s="554" t="str">
        <f ca="1"/>
        <v>Blanquita2</v>
      </c>
      <c r="D10" s="444" t="str">
        <f ca="1"/>
        <v>Hembra</v>
      </c>
      <c r="E10" s="95" t="str">
        <f ca="1"/>
        <v>Ordeño</v>
      </c>
      <c r="F10" s="444" t="str">
        <f ca="1"/>
        <v xml:space="preserve">5,2 Años </v>
      </c>
      <c r="G10" s="444" t="str">
        <f ca="1"/>
        <v>Vaca</v>
      </c>
      <c r="H10" s="40">
        <f ca="1">_xlfn.MAXIFS(Controlpesos[Peso],Controlpesos[Numero],B10)</f>
        <v>400</v>
      </c>
      <c r="I10" s="6">
        <f ca="1">IF(_xlfn.MAXIFS(Partos[Fecha],Partos[Numero Vaca],B10)=0,"",_xlfn.MAXIFS(Partos[Fecha],Partos[Numero Vaca],B10))</f>
        <v>45841</v>
      </c>
      <c r="J10" s="426">
        <f t="shared" ca="1" si="3"/>
        <v>8.1999999999999993</v>
      </c>
      <c r="K10" s="6">
        <f ca="1">_xlfn.MAXIFS(Pesadas[Fecha],Pesadas[Numero],B10)</f>
        <v>45976</v>
      </c>
      <c r="L10" s="40" cm="1">
        <f t="array" aca="1" ref="L10" ca="1">_xlfn._xlws.FILTER(CHOOSE({3},Pesadas[Fecha],Pesadas[Numero],Pesadas[Kg]),(Pesadas[Fecha]=_xlfn.MAXIFS(Pesadas[Fecha],Pesadas[Numero],B10))*(Pesadas[Numero]=B10),"S/R")</f>
        <v>4.03</v>
      </c>
      <c r="M10" s="6">
        <f ca="1">IF((_xlfn.MAXIFS(Servicios[[#All],[Fecha]],Servicios[[#All],[No.Vaca]],B10))&gt;0,_xlfn.MAXIFS(Servicios[[#All],[Fecha]],Servicios[[#All],[No.Vaca]],B10),"s/serv")</f>
        <v>45945</v>
      </c>
      <c r="N10" s="6" t="str" cm="1">
        <f t="array" aca="1" ref="N10" ca="1">_xlfn._xlws.FILTER(CHOOSE({3},Servicios[Fecha],Servicios[No.Vaca],Servicios[Toro]),(Servicios[No.Vaca]=B10)*(Servicios[Fecha]=M10),"S/R")</f>
        <v>9009 Sicario</v>
      </c>
      <c r="O10" s="6">
        <f ca="1">IF(_xlfn.MAXIFS(Palpaciones[Fecha],Palpaciones[No. ],B10)&lt;&gt;0,_xlfn.MAXIFS(Palpaciones[Fecha],Palpaciones[No. ],B10),"sin Registro")</f>
        <v>45836</v>
      </c>
      <c r="P10" s="426" cm="1">
        <f t="array" aca="1" ref="P10" ca="1">IF(O10="por Palpar","por Palpar",_xlfn._xlws.FILTER(CHOOSE({3},Palpaciones[Fecha],Palpaciones[No. ],Palpaciones[Palpacion]),(Palpaciones[Fecha]=_xlfn.MAXIFS(Palpaciones[Fecha],Palpaciones[No. ],B10))*(Palpaciones[No. ]=B10),"S/Reg"))</f>
        <v>7</v>
      </c>
      <c r="Q10" s="6">
        <f t="shared" ca="1" si="4"/>
        <v>45911</v>
      </c>
      <c r="R10" s="426">
        <f t="shared" ca="1" si="1"/>
        <v>15.366666666666667</v>
      </c>
      <c r="S10" s="483">
        <f t="shared" ca="1" si="5"/>
        <v>46228</v>
      </c>
      <c r="T10" s="426">
        <f t="shared" ca="1" si="2"/>
        <v>4.7333333333333334</v>
      </c>
    </row>
    <row r="11" spans="1:20" x14ac:dyDescent="0.25">
      <c r="A11" s="448">
        <f t="shared" ca="1" si="0"/>
        <v>8</v>
      </c>
      <c r="B11" s="39" t="str">
        <f ca="1"/>
        <v>23201</v>
      </c>
      <c r="C11" s="554" t="str">
        <f ca="1"/>
        <v>MASSIEL</v>
      </c>
      <c r="D11" s="444" t="str">
        <f ca="1"/>
        <v>Hembra</v>
      </c>
      <c r="E11" s="95" t="str">
        <f ca="1"/>
        <v>Ordeño</v>
      </c>
      <c r="F11" s="444" t="str">
        <f ca="1"/>
        <v xml:space="preserve">1,2 Años </v>
      </c>
      <c r="G11" s="444" t="str">
        <f ca="1"/>
        <v>Vaca</v>
      </c>
      <c r="H11" s="40">
        <f ca="1">_xlfn.MAXIFS(Controlpesos[Peso],Controlpesos[Numero],B11)</f>
        <v>0</v>
      </c>
      <c r="I11" s="6">
        <f ca="1">IF(_xlfn.MAXIFS(Partos[Fecha],Partos[Numero Vaca],B11)=0,"",_xlfn.MAXIFS(Partos[Fecha],Partos[Numero Vaca],B11))</f>
        <v>45883</v>
      </c>
      <c r="J11" s="426">
        <f t="shared" ca="1" si="3"/>
        <v>6.8</v>
      </c>
      <c r="K11" s="6">
        <f ca="1">_xlfn.MAXIFS(Pesadas[Fecha],Pesadas[Numero],B11)</f>
        <v>45976</v>
      </c>
      <c r="L11" s="40" cm="1">
        <f t="array" aca="1" ref="L11" ca="1">_xlfn._xlws.FILTER(CHOOSE({3},Pesadas[Fecha],Pesadas[Numero],Pesadas[Kg]),(Pesadas[Fecha]=_xlfn.MAXIFS(Pesadas[Fecha],Pesadas[Numero],B11))*(Pesadas[Numero]=B11),"S/R")</f>
        <v>3.165</v>
      </c>
      <c r="M11" s="6" t="str">
        <f ca="1">IF((_xlfn.MAXIFS(Servicios[[#All],[Fecha]],Servicios[[#All],[No.Vaca]],B11))&gt;0,_xlfn.MAXIFS(Servicios[[#All],[Fecha]],Servicios[[#All],[No.Vaca]],B11),"s/serv")</f>
        <v>s/serv</v>
      </c>
      <c r="N11" s="6" t="str" cm="1">
        <f t="array" aca="1" ref="N11" ca="1">_xlfn._xlws.FILTER(CHOOSE({3},Servicios[Fecha],Servicios[No.Vaca],Servicios[Toro]),(Servicios[No.Vaca]=B11)*(Servicios[Fecha]=M11),"S/R")</f>
        <v>S/R</v>
      </c>
      <c r="O11" s="6">
        <f ca="1">IF(_xlfn.MAXIFS(Palpaciones[Fecha],Palpaciones[No. ],B11)&lt;&gt;0,_xlfn.MAXIFS(Palpaciones[Fecha],Palpaciones[No. ],B11),"sin Registro")</f>
        <v>45836</v>
      </c>
      <c r="P11" s="426" cm="1">
        <f t="array" aca="1" ref="P11" ca="1">IF(O11="por Palpar","por Palpar",_xlfn._xlws.FILTER(CHOOSE({3},Palpaciones[Fecha],Palpaciones[No. ],Palpaciones[Palpacion]),(Palpaciones[Fecha]=_xlfn.MAXIFS(Palpaciones[Fecha],Palpaciones[No. ],B11))*(Palpaciones[No. ]=B11),"S/Reg"))</f>
        <v>3</v>
      </c>
      <c r="Q11" s="6">
        <f t="shared" ca="1" si="4"/>
        <v>46031</v>
      </c>
      <c r="R11" s="426">
        <f t="shared" ca="1" si="1"/>
        <v>11.366666666666667</v>
      </c>
      <c r="S11" s="483" t="str">
        <f t="shared" ca="1" si="5"/>
        <v>Vacia</v>
      </c>
      <c r="T11" s="426" t="str">
        <f t="shared" ca="1" si="2"/>
        <v>Dias ab 204</v>
      </c>
    </row>
    <row r="12" spans="1:20" x14ac:dyDescent="0.25">
      <c r="A12" s="448">
        <f t="shared" ca="1" si="0"/>
        <v>9</v>
      </c>
      <c r="B12" s="39" t="str">
        <f ca="1"/>
        <v>96</v>
      </c>
      <c r="C12" s="554" t="str">
        <f ca="1"/>
        <v>Morena</v>
      </c>
      <c r="D12" s="444" t="str">
        <f ca="1"/>
        <v>Hembra</v>
      </c>
      <c r="E12" s="95" t="str">
        <f ca="1"/>
        <v>Ordeño</v>
      </c>
      <c r="F12" s="444" t="str">
        <f ca="1"/>
        <v xml:space="preserve">7,7 Años </v>
      </c>
      <c r="G12" s="444" t="str">
        <f ca="1"/>
        <v>Vaca</v>
      </c>
      <c r="H12" s="40">
        <f ca="1">_xlfn.MAXIFS(Controlpesos[Peso],Controlpesos[Numero],B12)</f>
        <v>452</v>
      </c>
      <c r="I12" s="6">
        <f ca="1">IF(_xlfn.MAXIFS(Partos[Fecha],Partos[Numero Vaca],B12)=0,"",_xlfn.MAXIFS(Partos[Fecha],Partos[Numero Vaca],B12))</f>
        <v>45649</v>
      </c>
      <c r="J12" s="426">
        <f t="shared" ca="1" si="3"/>
        <v>14.6</v>
      </c>
      <c r="K12" s="6">
        <f ca="1">_xlfn.MAXIFS(Pesadas[Fecha],Pesadas[Numero],B12)</f>
        <v>45976</v>
      </c>
      <c r="L12" s="40" cm="1">
        <f t="array" aca="1" ref="L12" ca="1">_xlfn._xlws.FILTER(CHOOSE({3},Pesadas[Fecha],Pesadas[Numero],Pesadas[Kg]),(Pesadas[Fecha]=_xlfn.MAXIFS(Pesadas[Fecha],Pesadas[Numero],B12))*(Pesadas[Numero]=B12),"S/R")</f>
        <v>2.74</v>
      </c>
      <c r="M12" s="6">
        <f ca="1">IF((_xlfn.MAXIFS(Servicios[[#All],[Fecha]],Servicios[[#All],[No.Vaca]],B12))&gt;0,_xlfn.MAXIFS(Servicios[[#All],[Fecha]],Servicios[[#All],[No.Vaca]],B12),"s/serv")</f>
        <v>45764</v>
      </c>
      <c r="N12" s="6" t="str" cm="1">
        <f t="array" aca="1" ref="N12" ca="1">_xlfn._xlws.FILTER(CHOOSE({3},Servicios[Fecha],Servicios[No.Vaca],Servicios[Toro]),(Servicios[No.Vaca]=B12)*(Servicios[Fecha]=M12),"S/R")</f>
        <v>9009 Sicario</v>
      </c>
      <c r="O12" s="6">
        <f ca="1">IF(_xlfn.MAXIFS(Palpaciones[Fecha],Palpaciones[No. ],B12)&lt;&gt;0,_xlfn.MAXIFS(Palpaciones[Fecha],Palpaciones[No. ],B12),"sin Registro")</f>
        <v>45836</v>
      </c>
      <c r="P12" s="426" t="str" cm="1">
        <f t="array" aca="1" ref="P12" ca="1">IF(O12="por Palpar","por Palpar",_xlfn._xlws.FILTER(CHOOSE({3},Palpaciones[Fecha],Palpaciones[No. ],Palpaciones[Palpacion]),(Palpaciones[Fecha]=_xlfn.MAXIFS(Palpaciones[Fecha],Palpaciones[No. ],B12))*(Palpaciones[No. ]=B12),"S/Reg"))</f>
        <v>VACIA</v>
      </c>
      <c r="Q12" s="6" t="str">
        <f t="shared" ca="1" si="4"/>
        <v>Vacia</v>
      </c>
      <c r="R12" s="426" t="str">
        <f t="shared" ca="1" si="1"/>
        <v>Vacia</v>
      </c>
      <c r="S12" s="483">
        <f t="shared" ca="1" si="5"/>
        <v>46047</v>
      </c>
      <c r="T12" s="426">
        <f t="shared" ca="1" si="2"/>
        <v>10.766666666666667</v>
      </c>
    </row>
    <row r="13" spans="1:20" x14ac:dyDescent="0.25">
      <c r="A13" s="448">
        <f t="shared" ca="1" si="0"/>
        <v>10</v>
      </c>
      <c r="B13" s="39" t="str">
        <f ca="1"/>
        <v>97</v>
      </c>
      <c r="C13" s="554" t="str">
        <f ca="1"/>
        <v>La Negra</v>
      </c>
      <c r="D13" s="444" t="str">
        <f ca="1"/>
        <v>Hembra</v>
      </c>
      <c r="E13" s="95" t="str">
        <f ca="1"/>
        <v>Ordeño</v>
      </c>
      <c r="F13" s="444" t="str">
        <f ca="1"/>
        <v xml:space="preserve">7,7 Años </v>
      </c>
      <c r="G13" s="444" t="str">
        <f ca="1"/>
        <v>Vaca</v>
      </c>
      <c r="H13" s="40">
        <f ca="1">_xlfn.MAXIFS(Controlpesos[Peso],Controlpesos[Numero],B13)</f>
        <v>406</v>
      </c>
      <c r="I13" s="6">
        <f ca="1">IF(_xlfn.MAXIFS(Partos[Fecha],Partos[Numero Vaca],B13)=0,"",_xlfn.MAXIFS(Partos[Fecha],Partos[Numero Vaca],B13))</f>
        <v>45638</v>
      </c>
      <c r="J13" s="426">
        <f t="shared" ca="1" si="3"/>
        <v>14.966666666666667</v>
      </c>
      <c r="K13" s="6">
        <f ca="1">_xlfn.MAXIFS(Pesadas[Fecha],Pesadas[Numero],B13)</f>
        <v>45976</v>
      </c>
      <c r="L13" s="40" cm="1">
        <f t="array" aca="1" ref="L13" ca="1">_xlfn._xlws.FILTER(CHOOSE({3},Pesadas[Fecha],Pesadas[Numero],Pesadas[Kg]),(Pesadas[Fecha]=_xlfn.MAXIFS(Pesadas[Fecha],Pesadas[Numero],B13))*(Pesadas[Numero]=B13),"S/R")</f>
        <v>0.66</v>
      </c>
      <c r="M13" s="6">
        <f ca="1">IF((_xlfn.MAXIFS(Servicios[[#All],[Fecha]],Servicios[[#All],[No.Vaca]],B13))&gt;0,_xlfn.MAXIFS(Servicios[[#All],[Fecha]],Servicios[[#All],[No.Vaca]],B13),"s/serv")</f>
        <v>45705</v>
      </c>
      <c r="N13" s="6" t="str" cm="1">
        <f t="array" aca="1" ref="N13" ca="1">_xlfn._xlws.FILTER(CHOOSE({3},Servicios[Fecha],Servicios[No.Vaca],Servicios[Toro]),(Servicios[No.Vaca]=B13)*(Servicios[Fecha]=M13),"S/R")</f>
        <v>9009 Sicario</v>
      </c>
      <c r="O13" s="6">
        <f ca="1">IF(_xlfn.MAXIFS(Palpaciones[Fecha],Palpaciones[No. ],B13)&lt;&gt;0,_xlfn.MAXIFS(Palpaciones[Fecha],Palpaciones[No. ],B13),"sin Registro")</f>
        <v>45836</v>
      </c>
      <c r="P13" s="426" cm="1">
        <f t="array" aca="1" ref="P13" ca="1">IF(O13="por Palpar","por Palpar",_xlfn._xlws.FILTER(CHOOSE({3},Palpaciones[Fecha],Palpaciones[No. ],Palpaciones[Palpacion]),(Palpaciones[Fecha]=_xlfn.MAXIFS(Palpaciones[Fecha],Palpaciones[No. ],B13))*(Palpaciones[No. ]=B13),"S/Reg"))</f>
        <v>1.5</v>
      </c>
      <c r="Q13" s="6">
        <f t="shared" ca="1" si="4"/>
        <v>46076</v>
      </c>
      <c r="R13" s="426">
        <f t="shared" ca="1" si="1"/>
        <v>9.8666666666666671</v>
      </c>
      <c r="S13" s="483">
        <f t="shared" ca="1" si="5"/>
        <v>45988</v>
      </c>
      <c r="T13" s="426">
        <f t="shared" ca="1" si="2"/>
        <v>12.733333333333333</v>
      </c>
    </row>
    <row r="14" spans="1:20" x14ac:dyDescent="0.25">
      <c r="A14" s="448">
        <f t="shared" ca="1" si="0"/>
        <v>11</v>
      </c>
      <c r="B14" s="39" t="str">
        <f ca="1"/>
        <v>R02</v>
      </c>
      <c r="C14" s="554" t="str">
        <f ca="1"/>
        <v>Paola Barreto</v>
      </c>
      <c r="D14" s="444" t="str">
        <f ca="1"/>
        <v>Hembra</v>
      </c>
      <c r="E14" s="444" t="str">
        <f ca="1"/>
        <v>Ordeño</v>
      </c>
      <c r="F14" s="444" t="str">
        <f ca="1"/>
        <v xml:space="preserve">126,2 Años </v>
      </c>
      <c r="G14" s="444" t="str">
        <f ca="1"/>
        <v>Vaca</v>
      </c>
      <c r="H14" s="40">
        <f ca="1">_xlfn.MAXIFS(Controlpesos[Peso],Controlpesos[Numero],B14)</f>
        <v>0</v>
      </c>
      <c r="I14" s="6">
        <f ca="1">IF(_xlfn.MAXIFS(Partos[Fecha],Partos[Numero Vaca],B14)=0,"",_xlfn.MAXIFS(Partos[Fecha],Partos[Numero Vaca],B14))</f>
        <v>45750</v>
      </c>
      <c r="J14" s="426">
        <f t="shared" ca="1" si="3"/>
        <v>11.233333333333333</v>
      </c>
      <c r="K14" s="6">
        <f ca="1">_xlfn.MAXIFS(Pesadas[Fecha],Pesadas[Numero],B14)</f>
        <v>45976</v>
      </c>
      <c r="L14" s="40" cm="1">
        <f t="array" aca="1" ref="L14" ca="1">_xlfn._xlws.FILTER(CHOOSE({3},Pesadas[Fecha],Pesadas[Numero],Pesadas[Kg]),(Pesadas[Fecha]=_xlfn.MAXIFS(Pesadas[Fecha],Pesadas[Numero],B14))*(Pesadas[Numero]=B14),"S/R")</f>
        <v>2.375</v>
      </c>
      <c r="M14" s="6" t="str">
        <f ca="1">IF((_xlfn.MAXIFS(Servicios[[#All],[Fecha]],Servicios[[#All],[No.Vaca]],B14))&gt;0,_xlfn.MAXIFS(Servicios[[#All],[Fecha]],Servicios[[#All],[No.Vaca]],B14),"s/serv")</f>
        <v>s/serv</v>
      </c>
      <c r="N14" s="6" t="str" cm="1">
        <f t="array" aca="1" ref="N14" ca="1">_xlfn._xlws.FILTER(CHOOSE({3},Servicios[Fecha],Servicios[No.Vaca],Servicios[Toro]),(Servicios[No.Vaca]=B14)*(Servicios[Fecha]=M14),"S/R")</f>
        <v>S/R</v>
      </c>
      <c r="O14" s="6">
        <f ca="1">IF(_xlfn.MAXIFS(Palpaciones[Fecha],Palpaciones[No. ],B14)&lt;&gt;0,_xlfn.MAXIFS(Palpaciones[Fecha],Palpaciones[No. ],B14),"sin Registro")</f>
        <v>45836</v>
      </c>
      <c r="P14" s="426" t="str" cm="1">
        <f t="array" aca="1" ref="P14" ca="1">IF(O14="por Palpar","por Palpar",_xlfn._xlws.FILTER(CHOOSE({3},Palpaciones[Fecha],Palpaciones[No. ],Palpaciones[Palpacion]),(Palpaciones[Fecha]=_xlfn.MAXIFS(Palpaciones[Fecha],Palpaciones[No. ],B14))*(Palpaciones[No. ]=B14),"S/Reg"))</f>
        <v>VACIA</v>
      </c>
      <c r="Q14" s="6" t="str">
        <f t="shared" ca="1" si="4"/>
        <v>Vacia</v>
      </c>
      <c r="R14" s="426" t="str">
        <f t="shared" ca="1" si="1"/>
        <v>Vacia</v>
      </c>
      <c r="S14" s="483" t="str">
        <f t="shared" ca="1" si="5"/>
        <v>Vacia</v>
      </c>
      <c r="T14" s="426" t="str">
        <f t="shared" ca="1" si="2"/>
        <v>Dias ab 337</v>
      </c>
    </row>
    <row r="15" spans="1:20" x14ac:dyDescent="0.25">
      <c r="A15" s="448">
        <f t="shared" ca="1" si="0"/>
        <v>12</v>
      </c>
      <c r="B15" s="555" t="str">
        <f ca="1"/>
        <v>R03</v>
      </c>
      <c r="C15" s="554" t="str">
        <f ca="1"/>
        <v>Angelica Barreto</v>
      </c>
      <c r="D15" s="444" t="str">
        <f ca="1"/>
        <v>Hembra</v>
      </c>
      <c r="E15" s="444" t="str">
        <f ca="1"/>
        <v>Ordeño</v>
      </c>
      <c r="F15" s="444" t="str">
        <f ca="1"/>
        <v xml:space="preserve">126,2 Años </v>
      </c>
      <c r="G15" s="444" t="str">
        <f ca="1"/>
        <v>vaca</v>
      </c>
      <c r="H15" s="40">
        <f ca="1">_xlfn.MAXIFS(Controlpesos[Peso],Controlpesos[Numero],B15)</f>
        <v>0</v>
      </c>
      <c r="I15" s="6">
        <f ca="1">IF(_xlfn.MAXIFS(Partos[Fecha],Partos[Numero Vaca],B15)=0,"",_xlfn.MAXIFS(Partos[Fecha],Partos[Numero Vaca],B15))</f>
        <v>45758</v>
      </c>
      <c r="J15" s="426">
        <f t="shared" ca="1" si="3"/>
        <v>10.966666666666667</v>
      </c>
      <c r="K15" s="6">
        <f ca="1">_xlfn.MAXIFS(Pesadas[Fecha],Pesadas[Numero],B15)</f>
        <v>45976</v>
      </c>
      <c r="L15" s="40" cm="1">
        <f t="array" aca="1" ref="L15" ca="1">_xlfn._xlws.FILTER(CHOOSE({3},Pesadas[Fecha],Pesadas[Numero],Pesadas[Kg]),(Pesadas[Fecha]=_xlfn.MAXIFS(Pesadas[Fecha],Pesadas[Numero],B15))*(Pesadas[Numero]=B15),"S/R")</f>
        <v>2.8250000000000002</v>
      </c>
      <c r="M15" s="6" t="str">
        <f ca="1">IF((_xlfn.MAXIFS(Servicios[[#All],[Fecha]],Servicios[[#All],[No.Vaca]],B15))&gt;0,_xlfn.MAXIFS(Servicios[[#All],[Fecha]],Servicios[[#All],[No.Vaca]],B15),"s/serv")</f>
        <v>s/serv</v>
      </c>
      <c r="N15" s="6" t="str" cm="1">
        <f t="array" aca="1" ref="N15" ca="1">_xlfn._xlws.FILTER(CHOOSE({3},Servicios[Fecha],Servicios[No.Vaca],Servicios[Toro]),(Servicios[No.Vaca]=B15)*(Servicios[Fecha]=M15),"S/R")</f>
        <v>S/R</v>
      </c>
      <c r="O15" s="6">
        <f ca="1">IF(_xlfn.MAXIFS(Palpaciones[Fecha],Palpaciones[No. ],B15)&lt;&gt;0,_xlfn.MAXIFS(Palpaciones[Fecha],Palpaciones[No. ],B15),"sin Registro")</f>
        <v>45836</v>
      </c>
      <c r="P15" s="426" t="str" cm="1">
        <f t="array" aca="1" ref="P15" ca="1">IF(O15="por Palpar","por Palpar",_xlfn._xlws.FILTER(CHOOSE({3},Palpaciones[Fecha],Palpaciones[No. ],Palpaciones[Palpacion]),(Palpaciones[Fecha]=_xlfn.MAXIFS(Palpaciones[Fecha],Palpaciones[No. ],B15))*(Palpaciones[No. ]=B15),"S/Reg"))</f>
        <v>VACIA</v>
      </c>
      <c r="Q15" s="6" t="str">
        <f t="shared" ca="1" si="4"/>
        <v>Vacia</v>
      </c>
      <c r="R15" s="426" t="str">
        <f t="shared" ca="1" si="1"/>
        <v>Vacia</v>
      </c>
      <c r="S15" s="483" t="str">
        <f t="shared" ca="1" si="5"/>
        <v>Vacia</v>
      </c>
      <c r="T15" s="426" t="str">
        <f t="shared" ca="1" si="2"/>
        <v>Dias ab 329</v>
      </c>
    </row>
    <row r="16" spans="1:20" x14ac:dyDescent="0.25">
      <c r="A16" s="448">
        <f t="shared" ca="1" si="0"/>
        <v>13</v>
      </c>
      <c r="B16" s="39" t="str">
        <f ca="1"/>
        <v>R04</v>
      </c>
      <c r="C16" s="554" t="str">
        <f ca="1"/>
        <v>PEINETA Barreto</v>
      </c>
      <c r="D16" s="444" t="str">
        <f ca="1"/>
        <v>Hembra</v>
      </c>
      <c r="E16" s="444" t="str">
        <f ca="1"/>
        <v>Ordeño</v>
      </c>
      <c r="F16" s="444" t="str">
        <f ca="1"/>
        <v xml:space="preserve">126,2 Años </v>
      </c>
      <c r="G16" s="444" t="str">
        <f ca="1"/>
        <v>Vaca</v>
      </c>
      <c r="H16" s="40">
        <f ca="1">_xlfn.MAXIFS(Controlpesos[Peso],Controlpesos[Numero],B16)</f>
        <v>0</v>
      </c>
      <c r="I16" s="6">
        <f ca="1">IF(_xlfn.MAXIFS(Partos[Fecha],Partos[Numero Vaca],B16)=0,"",_xlfn.MAXIFS(Partos[Fecha],Partos[Numero Vaca],B16))</f>
        <v>45775</v>
      </c>
      <c r="J16" s="426">
        <f t="shared" ref="J16:J19" ca="1" si="6">(TODAY()-I16)/30</f>
        <v>10.4</v>
      </c>
      <c r="K16" s="6">
        <f ca="1">_xlfn.MAXIFS(Pesadas[Fecha],Pesadas[Numero],B16)</f>
        <v>45976</v>
      </c>
      <c r="L16" s="40" cm="1">
        <f t="array" aca="1" ref="L16" ca="1">_xlfn._xlws.FILTER(CHOOSE({3},Pesadas[Fecha],Pesadas[Numero],Pesadas[Kg]),(Pesadas[Fecha]=_xlfn.MAXIFS(Pesadas[Fecha],Pesadas[Numero],B16))*(Pesadas[Numero]=B16),"S/R")</f>
        <v>2.3250000000000002</v>
      </c>
      <c r="M16" s="6" t="str">
        <f ca="1">IF((_xlfn.MAXIFS(Servicios[[#All],[Fecha]],Servicios[[#All],[No.Vaca]],B16))&gt;0,_xlfn.MAXIFS(Servicios[[#All],[Fecha]],Servicios[[#All],[No.Vaca]],B16),"s/serv")</f>
        <v>s/serv</v>
      </c>
      <c r="N16" s="6" t="str" cm="1">
        <f t="array" aca="1" ref="N16" ca="1">_xlfn._xlws.FILTER(CHOOSE({3},Servicios[Fecha],Servicios[No.Vaca],Servicios[Toro]),(Servicios[No.Vaca]=B16)*(Servicios[Fecha]=M16),"S/R")</f>
        <v>S/R</v>
      </c>
      <c r="O16" s="6">
        <f ca="1">IF(_xlfn.MAXIFS(Palpaciones[Fecha],Palpaciones[No. ],B16)&lt;&gt;0,_xlfn.MAXIFS(Palpaciones[Fecha],Palpaciones[No. ],B16),"sin Registro")</f>
        <v>45836</v>
      </c>
      <c r="P16" s="426" t="str" cm="1">
        <f t="array" aca="1" ref="P16" ca="1">IF(O16="por Palpar","por Palpar",_xlfn._xlws.FILTER(CHOOSE({3},Palpaciones[Fecha],Palpaciones[No. ],Palpaciones[Palpacion]),(Palpaciones[Fecha]=_xlfn.MAXIFS(Palpaciones[Fecha],Palpaciones[No. ],B16))*(Palpaciones[No. ]=B16),"S/Reg"))</f>
        <v>VACIA</v>
      </c>
      <c r="Q16" s="6" t="str">
        <f t="shared" ca="1" si="4"/>
        <v>Vacia</v>
      </c>
      <c r="R16" s="426" t="str">
        <f t="shared" ca="1" si="1"/>
        <v>Vacia</v>
      </c>
      <c r="S16" s="483" t="str">
        <f t="shared" ca="1" si="5"/>
        <v>Vacia</v>
      </c>
      <c r="T16" s="426" t="str">
        <f t="shared" ca="1" si="2"/>
        <v>Dias ab 312</v>
      </c>
    </row>
    <row r="17" spans="1:20" x14ac:dyDescent="0.25">
      <c r="A17" s="448">
        <f t="shared" ca="1" si="0"/>
        <v>14</v>
      </c>
      <c r="B17" s="39" t="str">
        <f ca="1"/>
        <v>R06</v>
      </c>
      <c r="C17" s="554" t="str">
        <f ca="1"/>
        <v>Totumita Barreto</v>
      </c>
      <c r="D17" s="444" t="str">
        <f ca="1"/>
        <v>Hembra</v>
      </c>
      <c r="E17" s="444" t="str">
        <f ca="1"/>
        <v>Ordeño</v>
      </c>
      <c r="F17" s="444" t="str">
        <f ca="1"/>
        <v xml:space="preserve">126,2 Años </v>
      </c>
      <c r="G17" s="444" t="str">
        <f ca="1"/>
        <v>Vaca</v>
      </c>
      <c r="H17" s="40">
        <f ca="1">_xlfn.MAXIFS(Controlpesos[Peso],Controlpesos[Numero],B17)</f>
        <v>0</v>
      </c>
      <c r="I17" s="6">
        <f ca="1">IF(_xlfn.MAXIFS(Partos[Fecha],Partos[Numero Vaca],B17)=0,"",_xlfn.MAXIFS(Partos[Fecha],Partos[Numero Vaca],B17))</f>
        <v>45850</v>
      </c>
      <c r="J17" s="426">
        <f t="shared" ca="1" si="6"/>
        <v>7.9</v>
      </c>
      <c r="K17" s="6">
        <f ca="1">_xlfn.MAXIFS(Pesadas[Fecha],Pesadas[Numero],B17)</f>
        <v>45976</v>
      </c>
      <c r="L17" s="40" cm="1">
        <f t="array" aca="1" ref="L17" ca="1">_xlfn._xlws.FILTER(CHOOSE({3},Pesadas[Fecha],Pesadas[Numero],Pesadas[Kg]),(Pesadas[Fecha]=_xlfn.MAXIFS(Pesadas[Fecha],Pesadas[Numero],B17))*(Pesadas[Numero]=B17),"S/R")</f>
        <v>2.7</v>
      </c>
      <c r="M17" s="6" t="str">
        <f ca="1">IF((_xlfn.MAXIFS(Servicios[[#All],[Fecha]],Servicios[[#All],[No.Vaca]],B17))&gt;0,_xlfn.MAXIFS(Servicios[[#All],[Fecha]],Servicios[[#All],[No.Vaca]],B17),"s/serv")</f>
        <v>s/serv</v>
      </c>
      <c r="N17" s="6" t="str" cm="1">
        <f t="array" aca="1" ref="N17" ca="1">_xlfn._xlws.FILTER(CHOOSE({3},Servicios[Fecha],Servicios[No.Vaca],Servicios[Toro]),(Servicios[No.Vaca]=B17)*(Servicios[Fecha]=M17),"S/R")</f>
        <v>S/R</v>
      </c>
      <c r="O17" s="6">
        <f ca="1">IF(_xlfn.MAXIFS(Palpaciones[Fecha],Palpaciones[No. ],B17)&lt;&gt;0,_xlfn.MAXIFS(Palpaciones[Fecha],Palpaciones[No. ],B17),"sin Registro")</f>
        <v>45836</v>
      </c>
      <c r="P17" s="426" cm="1">
        <f t="array" aca="1" ref="P17" ca="1">IF(O17="por Palpar","por Palpar",_xlfn._xlws.FILTER(CHOOSE({3},Palpaciones[Fecha],Palpaciones[No. ],Palpaciones[Palpacion]),(Palpaciones[Fecha]=_xlfn.MAXIFS(Palpaciones[Fecha],Palpaciones[No. ],B17))*(Palpaciones[No. ]=B17),"S/Reg"))</f>
        <v>9</v>
      </c>
      <c r="Q17" s="6">
        <f t="shared" ca="1" si="4"/>
        <v>45851</v>
      </c>
      <c r="R17" s="426">
        <f t="shared" ca="1" si="1"/>
        <v>17.366666666666667</v>
      </c>
      <c r="S17" s="483" t="str">
        <f t="shared" ca="1" si="5"/>
        <v>Vacia</v>
      </c>
      <c r="T17" s="426" t="str">
        <f t="shared" ca="1" si="2"/>
        <v>Dias ab 237</v>
      </c>
    </row>
    <row r="18" spans="1:20" x14ac:dyDescent="0.25">
      <c r="A18" s="448">
        <f t="shared" ca="1" si="0"/>
        <v>15</v>
      </c>
      <c r="B18" s="39" t="str">
        <f ca="1"/>
        <v>R07</v>
      </c>
      <c r="C18" s="554" t="str">
        <f ca="1"/>
        <v>Chocolate Barreto</v>
      </c>
      <c r="D18" s="444" t="str">
        <f ca="1"/>
        <v>Hembra</v>
      </c>
      <c r="E18" s="444" t="str">
        <f ca="1"/>
        <v>Ordeño</v>
      </c>
      <c r="F18" s="444" t="str">
        <f ca="1"/>
        <v xml:space="preserve">126,2 Años </v>
      </c>
      <c r="G18" s="444" t="str">
        <f ca="1"/>
        <v>Vaca</v>
      </c>
      <c r="H18" s="40">
        <f ca="1">_xlfn.MAXIFS(Controlpesos[Peso],Controlpesos[Numero],B18)</f>
        <v>0</v>
      </c>
      <c r="I18" s="6">
        <f ca="1">IF(_xlfn.MAXIFS(Partos[Fecha],Partos[Numero Vaca],B18)=0,"",_xlfn.MAXIFS(Partos[Fecha],Partos[Numero Vaca],B18))</f>
        <v>45853</v>
      </c>
      <c r="J18" s="426">
        <f t="shared" ca="1" si="6"/>
        <v>7.8</v>
      </c>
      <c r="K18" s="6">
        <f ca="1">_xlfn.MAXIFS(Pesadas[Fecha],Pesadas[Numero],B18)</f>
        <v>45976</v>
      </c>
      <c r="L18" s="40" cm="1">
        <f t="array" aca="1" ref="L18" ca="1">_xlfn._xlws.FILTER(CHOOSE({3},Pesadas[Fecha],Pesadas[Numero],Pesadas[Kg]),(Pesadas[Fecha]=_xlfn.MAXIFS(Pesadas[Fecha],Pesadas[Numero],B18))*(Pesadas[Numero]=B18),"S/R")</f>
        <v>2.6</v>
      </c>
      <c r="M18" s="6" t="str">
        <f ca="1">IF((_xlfn.MAXIFS(Servicios[[#All],[Fecha]],Servicios[[#All],[No.Vaca]],B18))&gt;0,_xlfn.MAXIFS(Servicios[[#All],[Fecha]],Servicios[[#All],[No.Vaca]],B18),"s/serv")</f>
        <v>s/serv</v>
      </c>
      <c r="N18" s="6" t="str" cm="1">
        <f t="array" aca="1" ref="N18" ca="1">_xlfn._xlws.FILTER(CHOOSE({3},Servicios[Fecha],Servicios[No.Vaca],Servicios[Toro]),(Servicios[No.Vaca]=B18)*(Servicios[Fecha]=M18),"S/R")</f>
        <v>S/R</v>
      </c>
      <c r="O18" s="6">
        <f ca="1">IF(_xlfn.MAXIFS(Palpaciones[Fecha],Palpaciones[No. ],B18)&lt;&gt;0,_xlfn.MAXIFS(Palpaciones[Fecha],Palpaciones[No. ],B18),"sin Registro")</f>
        <v>45836</v>
      </c>
      <c r="P18" s="426" cm="1">
        <f t="array" aca="1" ref="P18" ca="1">IF(O18="por Palpar","por Palpar",_xlfn._xlws.FILTER(CHOOSE({3},Palpaciones[Fecha],Palpaciones[No. ],Palpaciones[Palpacion]),(Palpaciones[Fecha]=_xlfn.MAXIFS(Palpaciones[Fecha],Palpaciones[No. ],B18))*(Palpaciones[No. ]=B18),"S/Reg"))</f>
        <v>9</v>
      </c>
      <c r="Q18" s="6">
        <f t="shared" ca="1" si="4"/>
        <v>45851</v>
      </c>
      <c r="R18" s="426">
        <f t="shared" ca="1" si="1"/>
        <v>17.366666666666667</v>
      </c>
      <c r="S18" s="483" t="str">
        <f t="shared" ca="1" si="5"/>
        <v>Vacia</v>
      </c>
      <c r="T18" s="426" t="str">
        <f t="shared" ca="1" si="2"/>
        <v>Dias ab 234</v>
      </c>
    </row>
    <row r="19" spans="1:20" x14ac:dyDescent="0.25">
      <c r="A19" s="448">
        <f t="shared" ca="1" si="0"/>
        <v>16</v>
      </c>
      <c r="B19" s="39" t="str">
        <f ca="1"/>
        <v>R10</v>
      </c>
      <c r="C19" s="554" t="str">
        <f ca="1"/>
        <v>Adriana Barreto</v>
      </c>
      <c r="D19" s="444" t="str">
        <f ca="1"/>
        <v>Hembra</v>
      </c>
      <c r="E19" s="444" t="str">
        <f ca="1"/>
        <v>Ordeño</v>
      </c>
      <c r="F19" s="444" t="str">
        <f ca="1"/>
        <v xml:space="preserve">126,2 Años </v>
      </c>
      <c r="G19" s="444" t="str">
        <f ca="1"/>
        <v>Vaca</v>
      </c>
      <c r="H19" s="40">
        <f ca="1">_xlfn.MAXIFS(Controlpesos[Peso],Controlpesos[Numero],B19)</f>
        <v>0</v>
      </c>
      <c r="I19" s="6">
        <f ca="1">IF(_xlfn.MAXIFS(Partos[Fecha],Partos[Numero Vaca],B19)=0,"",_xlfn.MAXIFS(Partos[Fecha],Partos[Numero Vaca],B19))</f>
        <v>45667</v>
      </c>
      <c r="J19" s="426">
        <f t="shared" ca="1" si="6"/>
        <v>14</v>
      </c>
      <c r="K19" s="6">
        <f ca="1">_xlfn.MAXIFS(Pesadas[Fecha],Pesadas[Numero],B19)</f>
        <v>45976</v>
      </c>
      <c r="L19" s="40" cm="1">
        <f t="array" aca="1" ref="L19" ca="1">_xlfn._xlws.FILTER(CHOOSE({3},Pesadas[Fecha],Pesadas[Numero],Pesadas[Kg]),(Pesadas[Fecha]=_xlfn.MAXIFS(Pesadas[Fecha],Pesadas[Numero],B19))*(Pesadas[Numero]=B19),"S/R")</f>
        <v>3.22</v>
      </c>
      <c r="M19" s="6" t="str">
        <f ca="1">IF((_xlfn.MAXIFS(Servicios[[#All],[Fecha]],Servicios[[#All],[No.Vaca]],B19))&gt;0,_xlfn.MAXIFS(Servicios[[#All],[Fecha]],Servicios[[#All],[No.Vaca]],B19),"s/serv")</f>
        <v>s/serv</v>
      </c>
      <c r="N19" s="6" t="str" cm="1">
        <f t="array" aca="1" ref="N19" ca="1">_xlfn._xlws.FILTER(CHOOSE({3},Servicios[Fecha],Servicios[No.Vaca],Servicios[Toro]),(Servicios[No.Vaca]=B19)*(Servicios[Fecha]=M19),"S/R")</f>
        <v>S/R</v>
      </c>
      <c r="O19" s="6">
        <f ca="1">IF(_xlfn.MAXIFS(Palpaciones[Fecha],Palpaciones[No. ],B19)&lt;&gt;0,_xlfn.MAXIFS(Palpaciones[Fecha],Palpaciones[No. ],B19),"sin Registro")</f>
        <v>45836</v>
      </c>
      <c r="P19" s="426" t="str" cm="1">
        <f t="array" aca="1" ref="P19" ca="1">IF(O19="por Palpar","por Palpar",_xlfn._xlws.FILTER(CHOOSE({3},Palpaciones[Fecha],Palpaciones[No. ],Palpaciones[Palpacion]),(Palpaciones[Fecha]=_xlfn.MAXIFS(Palpaciones[Fecha],Palpaciones[No. ],B19))*(Palpaciones[No. ]=B19),"S/Reg"))</f>
        <v>VACIA</v>
      </c>
      <c r="Q19" s="6" t="str">
        <f t="shared" ca="1" si="4"/>
        <v>Vacia</v>
      </c>
      <c r="R19" s="426" t="str">
        <f t="shared" ca="1" si="1"/>
        <v>Vacia</v>
      </c>
      <c r="S19" s="483" t="str">
        <f t="shared" ca="1" si="5"/>
        <v>Vacia</v>
      </c>
      <c r="T19" s="426" t="str">
        <f t="shared" ca="1" si="2"/>
        <v>Dias ab 420</v>
      </c>
    </row>
    <row r="20" spans="1:20" ht="15.75" thickBot="1" x14ac:dyDescent="0.3">
      <c r="A20" s="447">
        <f t="shared" ca="1" si="0"/>
        <v>17</v>
      </c>
      <c r="B20" s="556" t="str">
        <f ca="1"/>
        <v>R11</v>
      </c>
      <c r="C20" s="557" t="str">
        <f ca="1"/>
        <v>Tatiana Barreto</v>
      </c>
      <c r="D20" s="17" t="str">
        <f ca="1"/>
        <v>Hembra</v>
      </c>
      <c r="E20" s="17" t="str">
        <f ca="1"/>
        <v>Ordeño</v>
      </c>
      <c r="F20" s="17" t="str">
        <f ca="1"/>
        <v xml:space="preserve">126,2 Años </v>
      </c>
      <c r="G20" s="17" t="str">
        <f ca="1"/>
        <v>Vaca</v>
      </c>
      <c r="H20" s="40">
        <f ca="1">_xlfn.MAXIFS(Controlpesos[Peso],Controlpesos[Numero],B20)</f>
        <v>0</v>
      </c>
      <c r="I20" s="6">
        <f ca="1">IF(_xlfn.MAXIFS(Partos[Fecha],Partos[Numero Vaca],B20)=0,"",_xlfn.MAXIFS(Partos[Fecha],Partos[Numero Vaca],B20))</f>
        <v>45920</v>
      </c>
      <c r="J20" s="426">
        <f t="shared" ref="J20:J21" ca="1" si="7">(TODAY()-I20)/30</f>
        <v>5.5666666666666664</v>
      </c>
      <c r="K20" s="6">
        <f ca="1">_xlfn.MAXIFS(Pesadas[Fecha],Pesadas[Numero],B20)</f>
        <v>45976</v>
      </c>
      <c r="L20" s="40" cm="1">
        <f t="array" aca="1" ref="L20" ca="1">_xlfn._xlws.FILTER(CHOOSE({3},Pesadas[Fecha],Pesadas[Numero],Pesadas[Kg]),(Pesadas[Fecha]=_xlfn.MAXIFS(Pesadas[Fecha],Pesadas[Numero],B20))*(Pesadas[Numero]=B20),"S/R")</f>
        <v>2.0649999999999999</v>
      </c>
      <c r="M20" s="6" t="str">
        <f ca="1">IF((_xlfn.MAXIFS(Servicios[[#All],[Fecha]],Servicios[[#All],[No.Vaca]],B20))&gt;0,_xlfn.MAXIFS(Servicios[[#All],[Fecha]],Servicios[[#All],[No.Vaca]],B20),"s/serv")</f>
        <v>s/serv</v>
      </c>
      <c r="N20" s="6" t="str" cm="1">
        <f t="array" aca="1" ref="N20" ca="1">_xlfn._xlws.FILTER(CHOOSE({3},Servicios[Fecha],Servicios[No.Vaca],Servicios[Toro]),(Servicios[No.Vaca]=B20)*(Servicios[Fecha]=M20),"S/R")</f>
        <v>S/R</v>
      </c>
      <c r="O20" s="6" t="str">
        <f ca="1">IF(_xlfn.MAXIFS(Palpaciones[Fecha],Palpaciones[No. ],B20)&lt;&gt;0,_xlfn.MAXIFS(Palpaciones[Fecha],Palpaciones[No. ],B20),"sin Registro")</f>
        <v>sin Registro</v>
      </c>
      <c r="P20" s="426" t="str" cm="1">
        <f t="array" aca="1" ref="P20" ca="1">IF(O20="por Palpar","por Palpar",_xlfn._xlws.FILTER(CHOOSE({3},Palpaciones[Fecha],Palpaciones[No. ],Palpaciones[Palpacion]),(Palpaciones[Fecha]=_xlfn.MAXIFS(Palpaciones[Fecha],Palpaciones[No. ],B20))*(Palpaciones[No. ]=B20),"S/Reg"))</f>
        <v>S/Reg</v>
      </c>
      <c r="Q20" s="6" t="str">
        <f t="shared" ca="1" si="4"/>
        <v>Vacia</v>
      </c>
      <c r="R20" s="426" t="str">
        <f t="shared" ca="1" si="1"/>
        <v>Vacia</v>
      </c>
      <c r="S20" s="483" t="str">
        <f t="shared" ca="1" si="5"/>
        <v>Vacia</v>
      </c>
      <c r="T20" s="426" t="str">
        <f t="shared" ca="1" si="2"/>
        <v>Dias ab 167</v>
      </c>
    </row>
    <row r="21" spans="1:20" ht="15.75" thickBot="1" x14ac:dyDescent="0.3">
      <c r="A21" s="447">
        <f ca="1">IF(B21&lt;&gt;"",A20+1,"")</f>
        <v>18</v>
      </c>
      <c r="B21" s="556" t="str">
        <f ca="1"/>
        <v>R12</v>
      </c>
      <c r="C21" s="557" t="str">
        <f ca="1"/>
        <v>MARIPOSA Barreto</v>
      </c>
      <c r="D21" s="17" t="str">
        <f ca="1"/>
        <v>Hembra</v>
      </c>
      <c r="E21" s="17" t="str">
        <f ca="1"/>
        <v>Ordeño</v>
      </c>
      <c r="F21" s="17" t="str">
        <f ca="1"/>
        <v xml:space="preserve">126,2 Años </v>
      </c>
      <c r="G21" s="17" t="str">
        <f ca="1"/>
        <v>Vaca</v>
      </c>
      <c r="H21" s="40">
        <f ca="1">_xlfn.MAXIFS(Controlpesos[Peso],Controlpesos[Numero],B21)</f>
        <v>0</v>
      </c>
      <c r="I21" s="6">
        <f ca="1">IF(_xlfn.MAXIFS(Partos[Fecha],Partos[Numero Vaca],B21)=0,"",_xlfn.MAXIFS(Partos[Fecha],Partos[Numero Vaca],B21))</f>
        <v>45920</v>
      </c>
      <c r="J21" s="426">
        <f t="shared" ca="1" si="7"/>
        <v>5.5666666666666664</v>
      </c>
      <c r="K21" s="6">
        <f ca="1">_xlfn.MAXIFS(Pesadas[Fecha],Pesadas[Numero],B21)</f>
        <v>45976</v>
      </c>
      <c r="L21" s="40" cm="1">
        <f t="array" aca="1" ref="L21" ca="1">_xlfn._xlws.FILTER(CHOOSE({3},Pesadas[Fecha],Pesadas[Numero],Pesadas[Kg]),(Pesadas[Fecha]=_xlfn.MAXIFS(Pesadas[Fecha],Pesadas[Numero],B21))*(Pesadas[Numero]=B21),"S/R")</f>
        <v>3.24</v>
      </c>
      <c r="M21" s="6" t="str">
        <f ca="1">IF((_xlfn.MAXIFS(Servicios[[#All],[Fecha]],Servicios[[#All],[No.Vaca]],B21))&gt;0,_xlfn.MAXIFS(Servicios[[#All],[Fecha]],Servicios[[#All],[No.Vaca]],B21),"s/serv")</f>
        <v>s/serv</v>
      </c>
      <c r="N21" s="6" t="str" cm="1">
        <f t="array" aca="1" ref="N21" ca="1">_xlfn._xlws.FILTER(CHOOSE({3},Servicios[Fecha],Servicios[No.Vaca],Servicios[Toro]),(Servicios[No.Vaca]=B21)*(Servicios[Fecha]=M21),"S/R")</f>
        <v>S/R</v>
      </c>
      <c r="O21" s="6" t="str">
        <f ca="1">IF(_xlfn.MAXIFS(Palpaciones[Fecha],Palpaciones[No. ],B21)&lt;&gt;0,_xlfn.MAXIFS(Palpaciones[Fecha],Palpaciones[No. ],B21),"sin Registro")</f>
        <v>sin Registro</v>
      </c>
      <c r="P21" s="426" t="str" cm="1">
        <f t="array" aca="1" ref="P21" ca="1">IF(O21="por Palpar","por Palpar",_xlfn._xlws.FILTER(CHOOSE({3},Palpaciones[Fecha],Palpaciones[No. ],Palpaciones[Palpacion]),(Palpaciones[Fecha]=_xlfn.MAXIFS(Palpaciones[Fecha],Palpaciones[No. ],B21))*(Palpaciones[No. ]=B21),"S/Reg"))</f>
        <v>S/Reg</v>
      </c>
      <c r="Q21" s="6" t="str">
        <f t="shared" ca="1" si="4"/>
        <v>Vacia</v>
      </c>
      <c r="R21" s="426" t="str">
        <f t="shared" ca="1" si="1"/>
        <v>Vacia</v>
      </c>
      <c r="S21" s="483" t="str">
        <f t="shared" ca="1" si="5"/>
        <v>Vacia</v>
      </c>
      <c r="T21" s="426" t="str">
        <f t="shared" ca="1" si="2"/>
        <v>Dias ab 167</v>
      </c>
    </row>
    <row r="22" spans="1:20" ht="15.75" thickBot="1" x14ac:dyDescent="0.3">
      <c r="A22" s="447">
        <f t="shared" ca="1" si="0"/>
        <v>19</v>
      </c>
      <c r="B22" s="558" t="str">
        <f ca="1"/>
        <v>R13</v>
      </c>
      <c r="C22" s="559" t="str">
        <f ca="1"/>
        <v>La Enana Barreto</v>
      </c>
      <c r="D22" s="549" t="str">
        <f ca="1"/>
        <v>Hembra</v>
      </c>
      <c r="E22" s="549" t="str">
        <f ca="1"/>
        <v>Ordeño</v>
      </c>
      <c r="F22" s="549" t="str">
        <f ca="1"/>
        <v xml:space="preserve">126,2 Años </v>
      </c>
      <c r="G22" s="549" t="str">
        <f ca="1"/>
        <v>Vaca</v>
      </c>
      <c r="H22" s="40">
        <f ca="1">_xlfn.MAXIFS(Controlpesos[Peso],Controlpesos[Numero],B22)</f>
        <v>0</v>
      </c>
      <c r="I22" s="6">
        <f ca="1">IF(_xlfn.MAXIFS(Partos[Fecha],Partos[Numero Vaca],B22)=0,"",_xlfn.MAXIFS(Partos[Fecha],Partos[Numero Vaca],B22))</f>
        <v>45957</v>
      </c>
      <c r="J22" s="426">
        <f t="shared" ref="J22" ca="1" si="8">(TODAY()-I22)/30</f>
        <v>4.333333333333333</v>
      </c>
      <c r="K22" s="6">
        <f ca="1">_xlfn.MAXIFS(Pesadas[Fecha],Pesadas[Numero],B22)</f>
        <v>45976</v>
      </c>
      <c r="L22" s="40" cm="1">
        <f t="array" aca="1" ref="L22" ca="1">_xlfn._xlws.FILTER(CHOOSE({3},Pesadas[Fecha],Pesadas[Numero],Pesadas[Kg]),(Pesadas[Fecha]=_xlfn.MAXIFS(Pesadas[Fecha],Pesadas[Numero],B22))*(Pesadas[Numero]=B22),"S/R")</f>
        <v>3.7949999999999999</v>
      </c>
      <c r="M22" s="6" t="str">
        <f ca="1">IF((_xlfn.MAXIFS(Servicios[[#All],[Fecha]],Servicios[[#All],[No.Vaca]],B22))&gt;0,_xlfn.MAXIFS(Servicios[[#All],[Fecha]],Servicios[[#All],[No.Vaca]],B22),"s/serv")</f>
        <v>s/serv</v>
      </c>
      <c r="N22" s="6" t="str" cm="1">
        <f t="array" aca="1" ref="N22" ca="1">_xlfn._xlws.FILTER(CHOOSE({3},Servicios[Fecha],Servicios[No.Vaca],Servicios[Toro]),(Servicios[No.Vaca]=B22)*(Servicios[Fecha]=M22),"S/R")</f>
        <v>S/R</v>
      </c>
      <c r="O22" s="6" t="str">
        <f ca="1">IF(_xlfn.MAXIFS(Palpaciones[Fecha],Palpaciones[No. ],B22)&lt;&gt;0,_xlfn.MAXIFS(Palpaciones[Fecha],Palpaciones[No. ],B22),"sin Registro")</f>
        <v>sin Registro</v>
      </c>
      <c r="P22" s="426" t="str" cm="1">
        <f t="array" aca="1" ref="P22" ca="1">IF(O22="por Palpar","por Palpar",_xlfn._xlws.FILTER(CHOOSE({3},Palpaciones[Fecha],Palpaciones[No. ],Palpaciones[Palpacion]),(Palpaciones[Fecha]=_xlfn.MAXIFS(Palpaciones[Fecha],Palpaciones[No. ],B22))*(Palpaciones[No. ]=B22),"S/Reg"))</f>
        <v>S/Reg</v>
      </c>
      <c r="Q22" s="6" t="str">
        <f t="shared" ca="1" si="4"/>
        <v>Vacia</v>
      </c>
      <c r="R22" s="426" t="str">
        <f t="shared" ca="1" si="1"/>
        <v>Vacia</v>
      </c>
      <c r="S22" s="483" t="str">
        <f t="shared" ca="1" si="5"/>
        <v>Vacia</v>
      </c>
      <c r="T22" s="426" t="str">
        <f ca="1">IFERROR(((TODAY()-M22)/30),CONCATENATE("Dias ab ",(TODAY()-I22)))</f>
        <v>Dias ab 130</v>
      </c>
    </row>
    <row r="23" spans="1:20" x14ac:dyDescent="0.25">
      <c r="A23" s="562">
        <f ca="1">IF(B23&lt;&gt;"",A22+1,"")</f>
        <v>20</v>
      </c>
      <c r="B23" s="563" t="str">
        <f ca="1"/>
        <v>Y001</v>
      </c>
      <c r="C23" s="559" t="str">
        <f ca="1"/>
        <v>Patanemo Cordero</v>
      </c>
      <c r="D23" s="560" t="str">
        <f ca="1"/>
        <v>Hembra</v>
      </c>
      <c r="E23" s="560" t="str">
        <f ca="1"/>
        <v>Ordeño</v>
      </c>
      <c r="F23" s="560" t="str">
        <f ca="1"/>
        <v xml:space="preserve">5,2 Años </v>
      </c>
      <c r="G23" s="560" t="str">
        <f ca="1"/>
        <v>Vaca</v>
      </c>
      <c r="H23" s="564">
        <f ca="1">_xlfn.MAXIFS(Controlpesos[Peso],Controlpesos[Numero],B23)</f>
        <v>396</v>
      </c>
      <c r="I23" s="257">
        <f ca="1">IF(_xlfn.MAXIFS(Partos[Fecha],Partos[Numero Vaca],B23)=0,"",_xlfn.MAXIFS(Partos[Fecha],Partos[Numero Vaca],B23))</f>
        <v>45911</v>
      </c>
      <c r="J23" s="565">
        <f t="shared" ref="J23" ca="1" si="9">(TODAY()-I23)/30</f>
        <v>5.8666666666666663</v>
      </c>
      <c r="K23" s="257">
        <f ca="1">_xlfn.MAXIFS(Pesadas[Fecha],Pesadas[Numero],B23)</f>
        <v>45976</v>
      </c>
      <c r="L23" s="564" cm="1">
        <f t="array" aca="1" ref="L23" ca="1">_xlfn._xlws.FILTER(CHOOSE({3},Pesadas[Fecha],Pesadas[Numero],Pesadas[Kg]),(Pesadas[Fecha]=_xlfn.MAXIFS(Pesadas[Fecha],Pesadas[Numero],B23))*(Pesadas[Numero]=B23),"S/R")</f>
        <v>2.855</v>
      </c>
      <c r="M23" s="257">
        <f ca="1">IF((_xlfn.MAXIFS(Servicios[[#All],[Fecha]],Servicios[[#All],[No.Vaca]],B23))&gt;0,_xlfn.MAXIFS(Servicios[[#All],[Fecha]],Servicios[[#All],[No.Vaca]],B23),"s/serv")</f>
        <v>45625</v>
      </c>
      <c r="N23" s="257" t="str" cm="1">
        <f t="array" aca="1" ref="N23" ca="1">_xlfn._xlws.FILTER(CHOOSE({3},Servicios[Fecha],Servicios[No.Vaca],Servicios[Toro]),(Servicios[No.Vaca]=B23)*(Servicios[Fecha]=M23),"S/R")</f>
        <v>Toro Pocho</v>
      </c>
      <c r="O23" s="257">
        <f ca="1">IF(_xlfn.MAXIFS(Palpaciones[Fecha],Palpaciones[No. ],B23)&lt;&gt;0,_xlfn.MAXIFS(Palpaciones[Fecha],Palpaciones[No. ],B23),"sin Registro")</f>
        <v>45836</v>
      </c>
      <c r="P23" s="565" cm="1">
        <f t="array" aca="1" ref="P23" ca="1">IF(O23="por Palpar","por Palpar",_xlfn._xlws.FILTER(CHOOSE({3},Palpaciones[Fecha],Palpaciones[No. ],Palpaciones[Palpacion]),(Palpaciones[Fecha]=_xlfn.MAXIFS(Palpaciones[Fecha],Palpaciones[No. ],B23))*(Palpaciones[No. ]=B23),"S/Reg"))</f>
        <v>6</v>
      </c>
      <c r="Q23" s="257">
        <f t="shared" ref="Q23" ca="1" si="10">IFERROR((O23-(P23*30)+285),"Vacia")</f>
        <v>45941</v>
      </c>
      <c r="R23" s="565">
        <f t="shared" ref="R23" ca="1" si="11">IFERROR(((TODAY()-O23)+(P23*30))/30,"Vacia")</f>
        <v>14.366666666666667</v>
      </c>
      <c r="S23" s="566">
        <f t="shared" ref="S23" ca="1" si="12">IFERROR(M23+283,"Vacia")</f>
        <v>45908</v>
      </c>
      <c r="T23" s="565">
        <f t="shared" ref="T23" ca="1" si="13">IFERROR(((TODAY()-M23)/30),CONCATENATE("Dias ab ",(TODAY()-I23)))</f>
        <v>15.4</v>
      </c>
    </row>
    <row r="24" spans="1:20" x14ac:dyDescent="0.25">
      <c r="A24" s="561" t="str">
        <f>IF(B24&lt;&gt;"",A23+1,"")</f>
        <v/>
      </c>
      <c r="B24" s="39"/>
      <c r="C24" s="554"/>
      <c r="D24" s="561"/>
      <c r="E24" s="561"/>
      <c r="F24" s="561"/>
      <c r="G24" s="561"/>
      <c r="H24" s="40"/>
      <c r="I24" s="6"/>
      <c r="J24" s="426"/>
      <c r="K24" s="6"/>
      <c r="L24" s="40"/>
      <c r="M24" s="6"/>
      <c r="N24" s="6"/>
      <c r="O24" s="6"/>
      <c r="P24" s="426"/>
      <c r="Q24" s="6"/>
      <c r="R24" s="426"/>
      <c r="S24" s="6"/>
      <c r="T24" s="426"/>
    </row>
    <row r="25" spans="1:20" ht="15.75" thickBot="1" x14ac:dyDescent="0.3">
      <c r="B25" s="567">
        <f ca="1">COUNT(A4:A23)</f>
        <v>20</v>
      </c>
      <c r="E25" s="1"/>
      <c r="H25" s="567"/>
      <c r="J25" s="568"/>
      <c r="K25" s="569">
        <f ca="1">SUM(L4:L22)</f>
        <v>50.155000000000008</v>
      </c>
      <c r="L25" s="569">
        <f ca="1">K25/COUNTIF(L4:L22,"&gt;0")</f>
        <v>2.9502941176470592</v>
      </c>
    </row>
    <row r="26" spans="1:20" ht="24" thickBot="1" x14ac:dyDescent="0.3">
      <c r="B26" s="508" t="s">
        <v>196</v>
      </c>
      <c r="H26" s="281"/>
      <c r="M26" s="528" t="s">
        <v>668</v>
      </c>
      <c r="N26" s="503"/>
      <c r="O26" s="504">
        <f>(SUMIF(N28:N62,"&gt;0",N28:N62))/COUNTIF(N28:N62,"&gt;0")</f>
        <v>3.5301612903225807</v>
      </c>
      <c r="P26" s="510" t="s">
        <v>22</v>
      </c>
      <c r="Q26" s="511" t="s">
        <v>650</v>
      </c>
      <c r="R26" s="146"/>
      <c r="S26" s="510"/>
      <c r="T26" s="511"/>
    </row>
    <row r="27" spans="1:20" ht="19.5" thickBot="1" x14ac:dyDescent="0.35">
      <c r="B27" s="130" t="s">
        <v>647</v>
      </c>
      <c r="C27" s="43" t="s">
        <v>429</v>
      </c>
      <c r="D27" s="521" t="s">
        <v>438</v>
      </c>
      <c r="E27" s="521"/>
      <c r="F27" s="454"/>
      <c r="G27" s="43"/>
      <c r="H27" s="144"/>
      <c r="I27" s="529" t="s">
        <v>405</v>
      </c>
      <c r="J27" s="530"/>
      <c r="K27" s="531"/>
      <c r="M27" s="125" t="s">
        <v>12</v>
      </c>
      <c r="N27" s="126" t="s">
        <v>441</v>
      </c>
      <c r="O27" s="512" t="s">
        <v>602</v>
      </c>
      <c r="P27" s="513">
        <f>IF(Q27&lt;&gt;"",P25+1,"")</f>
        <v>1</v>
      </c>
      <c r="Q27" s="6">
        <f t="shared" ref="Q27:Q32" si="14">IF(F38&lt;&gt;"",F38,"")</f>
        <v>44836</v>
      </c>
      <c r="R27" s="514"/>
      <c r="S27" s="6"/>
      <c r="T27" s="40"/>
    </row>
    <row r="28" spans="1:20" ht="18.75" customHeight="1" thickBot="1" x14ac:dyDescent="0.3">
      <c r="A28" s="456"/>
      <c r="B28" s="149" t="str">
        <f>B26</f>
        <v>184585</v>
      </c>
      <c r="C28" s="502" t="str">
        <f>VLOOKUP(B28,Fichas[#All],2,FALSE)</f>
        <v>TRANCO LARGO</v>
      </c>
      <c r="D28" s="525" t="str">
        <f ca="1">CONCATENATE("    ",VLOOKUP($B$28,Fichas[#All],9,FALSE)," Años, ",VLOOKUP($B$28,Fichas[#All],10,FALSE)," Meses, ",VLOOKUP($B$28,Fichas[#All],11,FALSE)," Dias")</f>
        <v xml:space="preserve">    Vivos Años, 8 Meses, 2 Dias</v>
      </c>
      <c r="E28" s="524"/>
      <c r="F28" s="248" t="s">
        <v>442</v>
      </c>
      <c r="G28" s="134" t="str">
        <f>VLOOKUP($B$28,Fichas[#All],5,FALSE)</f>
        <v>Rallada</v>
      </c>
      <c r="H28" s="445"/>
      <c r="I28" s="142" t="s">
        <v>12</v>
      </c>
      <c r="J28" s="143" t="s">
        <v>444</v>
      </c>
      <c r="K28" s="146" t="s">
        <v>315</v>
      </c>
      <c r="M28" s="148" cm="1">
        <f t="array" ref="M28:N77">_xlfn._xlws.FILTER(CHOOSE({1,2},Pesadas[Fecha],Pesadas[Kg]),Pesadas[Numero]=Inicio!B28,"No Hay Registros")</f>
        <v>45159</v>
      </c>
      <c r="N28" s="127">
        <v>1.4</v>
      </c>
      <c r="O28" s="305"/>
      <c r="P28" s="513">
        <f t="shared" ref="P28:P32" si="15">IF(Q28&lt;&gt;"",P27+1,"")</f>
        <v>2</v>
      </c>
      <c r="Q28" s="6">
        <f t="shared" si="14"/>
        <v>45238</v>
      </c>
      <c r="R28" s="514"/>
      <c r="S28" s="6"/>
      <c r="T28" s="40"/>
    </row>
    <row r="29" spans="1:20" x14ac:dyDescent="0.25">
      <c r="A29" s="442" t="s">
        <v>51</v>
      </c>
      <c r="B29" s="457" t="s">
        <v>431</v>
      </c>
      <c r="C29" s="251" t="str">
        <f>VLOOKUP($B$28,Fichas[#All],8,FALSE)</f>
        <v>Ordeño</v>
      </c>
      <c r="D29" s="522" t="s">
        <v>436</v>
      </c>
      <c r="E29" s="523" t="str">
        <f>VLOOKUP($B$28,Fichas[#All],6,FALSE)</f>
        <v>Castro</v>
      </c>
      <c r="F29" s="122" t="s">
        <v>434</v>
      </c>
      <c r="G29" s="131">
        <f ca="1">VLOOKUP($B$28,Fichas[#All],12,FALSE)</f>
        <v>5</v>
      </c>
      <c r="H29" s="446"/>
      <c r="I29" s="148" cm="1">
        <f t="array" ref="I29:K32">_xlfn._xlws.FILTER(CHOOSE({1,3,4},Palpaciones[Fecha],Palpaciones[No. ],Palpaciones[Palpacion],Palpaciones[Observaciones]),Palpaciones[No. ]=Inicio!B28,"No Hay Registros")</f>
        <v>45198</v>
      </c>
      <c r="J29" s="141">
        <v>7.5</v>
      </c>
      <c r="K29" s="500">
        <v>0</v>
      </c>
      <c r="M29" s="148">
        <v>45189</v>
      </c>
      <c r="N29" s="127">
        <v>0</v>
      </c>
      <c r="O29" s="305"/>
      <c r="P29" s="513">
        <f t="shared" si="15"/>
        <v>3</v>
      </c>
      <c r="Q29" s="6">
        <f t="shared" si="14"/>
        <v>45586</v>
      </c>
      <c r="R29" s="514"/>
      <c r="S29" s="6"/>
      <c r="T29" s="40"/>
    </row>
    <row r="30" spans="1:20" ht="15.75" customHeight="1" x14ac:dyDescent="0.25">
      <c r="A30" s="442" t="str" cm="1">
        <f t="array" ref="A30:A32">_xlfn.UNIQUE(Fichas[Status])</f>
        <v>Vivos</v>
      </c>
      <c r="B30" s="457" t="s">
        <v>519</v>
      </c>
      <c r="C30" s="252">
        <f>VLOOKUP($B$28,Fichas[#All],3,FALSE)</f>
        <v>43101</v>
      </c>
      <c r="D30" s="248" t="s">
        <v>437</v>
      </c>
      <c r="E30" s="123" t="str">
        <f>VLOOKUP($B$28,Fichas[[#Headers],[#Data],[Numero]:[P. s/yoni]],7,FALSE)</f>
        <v>Vaca</v>
      </c>
      <c r="F30" s="464" t="s">
        <v>610</v>
      </c>
      <c r="G30" s="465">
        <f>VLOOKUP($B$28,Fichas[#All],13,FALSE)</f>
        <v>0</v>
      </c>
      <c r="H30" s="446"/>
      <c r="I30" s="148">
        <v>45268</v>
      </c>
      <c r="J30" s="40" t="str">
        <v>Vacia</v>
      </c>
      <c r="K30" s="500">
        <v>0</v>
      </c>
      <c r="M30" s="148">
        <v>45219</v>
      </c>
      <c r="N30" s="127">
        <v>0</v>
      </c>
      <c r="O30" s="305"/>
      <c r="P30" s="513">
        <f t="shared" si="15"/>
        <v>4</v>
      </c>
      <c r="Q30" s="6">
        <f t="shared" si="14"/>
        <v>45892</v>
      </c>
      <c r="R30" s="514"/>
      <c r="S30" s="6"/>
      <c r="T30" s="507"/>
    </row>
    <row r="31" spans="1:20" x14ac:dyDescent="0.25">
      <c r="A31" s="442" t="str">
        <v>Vendida</v>
      </c>
      <c r="B31" s="457" t="s">
        <v>518</v>
      </c>
      <c r="C31" s="253">
        <f>VLOOKUP($B$28,Fichas[#All],15,FALSE)</f>
        <v>0</v>
      </c>
      <c r="D31" s="249"/>
      <c r="E31" s="70"/>
      <c r="F31" s="122" t="s">
        <v>435</v>
      </c>
      <c r="G31" s="131">
        <f>VLOOKUP($B$28,Fichas[#All],14,FALSE)</f>
        <v>0</v>
      </c>
      <c r="H31" s="446"/>
      <c r="I31" s="148">
        <v>45525</v>
      </c>
      <c r="J31" s="40">
        <v>7</v>
      </c>
      <c r="K31" s="500">
        <v>0</v>
      </c>
      <c r="M31" s="148">
        <v>45250</v>
      </c>
      <c r="N31" s="127">
        <v>6.29</v>
      </c>
      <c r="O31" s="305"/>
      <c r="P31" s="513" t="str">
        <f t="shared" si="15"/>
        <v/>
      </c>
      <c r="Q31" s="6" t="str">
        <f t="shared" si="14"/>
        <v/>
      </c>
      <c r="R31" s="514"/>
      <c r="S31" s="6"/>
      <c r="T31" s="507"/>
    </row>
    <row r="32" spans="1:20" ht="15.75" thickBot="1" x14ac:dyDescent="0.3">
      <c r="A32" s="442" t="str">
        <v>Muerto</v>
      </c>
      <c r="B32" s="457" t="s">
        <v>432</v>
      </c>
      <c r="C32" s="134" t="str">
        <f>VLOOKUP(B28,Fichas[#All],4,FALSE)</f>
        <v>Hembra</v>
      </c>
      <c r="D32" s="249"/>
      <c r="E32" s="70"/>
      <c r="F32" s="304" t="s">
        <v>448</v>
      </c>
      <c r="G32" s="132">
        <f>(F34-(IFERROR(VLOOKUP(F34-1,F37:F47,1,TRUE),F34)))/30</f>
        <v>10.199999999999999</v>
      </c>
      <c r="H32" s="447"/>
      <c r="I32" s="387">
        <v>45836</v>
      </c>
      <c r="J32" s="17">
        <v>6</v>
      </c>
      <c r="K32" s="501">
        <v>0</v>
      </c>
      <c r="M32" s="148">
        <v>45280</v>
      </c>
      <c r="N32" s="127">
        <v>5.3250000000000002</v>
      </c>
      <c r="O32" s="305"/>
      <c r="P32" s="513" t="str">
        <f t="shared" si="15"/>
        <v/>
      </c>
      <c r="Q32" s="6" t="str">
        <f t="shared" si="14"/>
        <v/>
      </c>
      <c r="R32" s="514"/>
      <c r="S32" s="6"/>
      <c r="T32" s="40"/>
    </row>
    <row r="33" spans="1:20" ht="15.75" thickBot="1" x14ac:dyDescent="0.3">
      <c r="A33" s="442"/>
      <c r="B33" s="457" t="s">
        <v>433</v>
      </c>
      <c r="C33" s="253">
        <f>VLOOKUP($B$28,Fichas[#All],16,FALSE)</f>
        <v>0</v>
      </c>
      <c r="D33" s="249"/>
      <c r="E33" s="70" t="s">
        <v>449</v>
      </c>
      <c r="F33" s="147">
        <f>IFERROR(VLOOKUP(F34-1,F37:F47,1,TRUE),F34)</f>
        <v>45586</v>
      </c>
      <c r="G33" s="132"/>
      <c r="H33" s="301"/>
      <c r="I33" s="303"/>
      <c r="J33" s="301"/>
      <c r="K33" s="133"/>
      <c r="M33" s="148">
        <v>45307</v>
      </c>
      <c r="N33" s="127">
        <v>4.17</v>
      </c>
      <c r="O33" s="305"/>
      <c r="P33" s="513" t="str">
        <f t="shared" ref="P33:P41" si="16">IF(F44&lt;&gt;"",F44,"")</f>
        <v/>
      </c>
      <c r="Q33" s="40"/>
      <c r="R33" s="514"/>
      <c r="S33" s="6"/>
      <c r="T33" s="40"/>
    </row>
    <row r="34" spans="1:20" ht="15.75" thickBot="1" x14ac:dyDescent="0.3">
      <c r="A34" s="443"/>
      <c r="B34" s="458">
        <f>_xlfn.MAXIFS(Controlpesos[Fecha],Controlpesos[Numero],B28)</f>
        <v>45252</v>
      </c>
      <c r="C34" s="254">
        <f>_xlfn.MAXIFS(Controlpesos[Peso],Controlpesos[Fecha],B34,Controlpesos[Numero],B28)</f>
        <v>524</v>
      </c>
      <c r="D34" s="250"/>
      <c r="E34" s="16" t="s">
        <v>215</v>
      </c>
      <c r="F34" s="147">
        <f>_xlfn.MAXIFS(Partos[Fecha],Partos[Numero Vaca],B28)</f>
        <v>45892</v>
      </c>
      <c r="G34" s="132">
        <f ca="1">(TODAY()-F34)/30</f>
        <v>6.5</v>
      </c>
      <c r="H34" s="282"/>
      <c r="M34" s="148">
        <v>45322</v>
      </c>
      <c r="N34" s="127">
        <v>4.2</v>
      </c>
      <c r="O34" s="305"/>
      <c r="P34" s="513" t="str">
        <f t="shared" si="16"/>
        <v/>
      </c>
      <c r="Q34" s="40"/>
      <c r="R34" s="514"/>
      <c r="S34" s="6"/>
      <c r="T34" s="40"/>
    </row>
    <row r="35" spans="1:20" ht="15.75" thickBot="1" x14ac:dyDescent="0.3">
      <c r="A35" s="443"/>
      <c r="B35" s="246"/>
      <c r="C35" s="247"/>
      <c r="H35" s="281"/>
      <c r="M35" s="148">
        <v>45338</v>
      </c>
      <c r="N35" s="127">
        <v>4.42</v>
      </c>
      <c r="O35" s="305"/>
      <c r="P35" s="513" t="str">
        <f t="shared" si="16"/>
        <v/>
      </c>
      <c r="Q35" s="507"/>
      <c r="R35" s="514"/>
      <c r="S35" s="6"/>
      <c r="T35" s="507"/>
    </row>
    <row r="36" spans="1:20" ht="16.5" customHeight="1" x14ac:dyDescent="0.25">
      <c r="A36" s="442" t="s">
        <v>213</v>
      </c>
      <c r="E36" s="431"/>
      <c r="F36" s="431" t="s">
        <v>439</v>
      </c>
      <c r="G36" s="432"/>
      <c r="H36" s="433"/>
      <c r="J36" s="490" t="s">
        <v>397</v>
      </c>
      <c r="K36" s="491"/>
      <c r="M36" s="148">
        <v>45352</v>
      </c>
      <c r="N36" s="127">
        <v>4.0050000000000008</v>
      </c>
      <c r="O36" s="127"/>
      <c r="P36" s="429" t="str">
        <f t="shared" si="16"/>
        <v/>
      </c>
    </row>
    <row r="37" spans="1:20" ht="15.75" thickBot="1" x14ac:dyDescent="0.3">
      <c r="B37" s="125" t="s">
        <v>331</v>
      </c>
      <c r="C37" s="125" t="s">
        <v>155</v>
      </c>
      <c r="E37" s="125" t="s">
        <v>0</v>
      </c>
      <c r="F37" s="125" t="s">
        <v>12</v>
      </c>
      <c r="G37" s="116" t="s">
        <v>26</v>
      </c>
      <c r="H37" s="509" t="s">
        <v>440</v>
      </c>
      <c r="J37" s="492" t="s">
        <v>12</v>
      </c>
      <c r="K37" s="493" t="s">
        <v>26</v>
      </c>
      <c r="M37" s="148">
        <v>45366</v>
      </c>
      <c r="N37" s="127">
        <v>3.8650000000000002</v>
      </c>
      <c r="O37" s="127"/>
      <c r="P37" s="429" t="str">
        <f t="shared" si="16"/>
        <v/>
      </c>
    </row>
    <row r="38" spans="1:20" ht="15.75" customHeight="1" x14ac:dyDescent="0.25">
      <c r="A38" s="442"/>
      <c r="B38" s="461" t="str" cm="1">
        <f t="array" ref="B38:B45">_xlfn.UNIQUE(Fichas[Tipo])</f>
        <v>Vaca</v>
      </c>
      <c r="C38" s="462">
        <f>COUNTIFS(Fichas[Tipo],B38,Fichas[Status],"Vivos")</f>
        <v>20</v>
      </c>
      <c r="E38" s="466">
        <f>IF(F38&lt;&gt;"",E36+1,"")</f>
        <v>1</v>
      </c>
      <c r="F38" s="438" cm="1">
        <f t="array" ref="F38:H41">_xlfn._xlws.FILTER(CHOOSE({1,2,3},Partos[Fecha],Partos[Sexo],Partos[Peso]),Partos[Numero Vaca]=Inicio!B28,"No Hay Partos Registrados")</f>
        <v>44836</v>
      </c>
      <c r="G38" s="59" t="str">
        <v>Macho</v>
      </c>
      <c r="H38" s="127">
        <v>0</v>
      </c>
      <c r="I38" s="438"/>
      <c r="J38" s="148" cm="1">
        <f t="array" ref="J38:K39">_xlfn._xlws.FILTER(CHOOSE({1,2},Servicios[Fecha],Servicios[Toro]),Servicios[No.Vaca]=Inicio!B28,"sin serv/Reg")</f>
        <v>45612</v>
      </c>
      <c r="K38" s="478" t="str">
        <v>Toro Pocho</v>
      </c>
      <c r="M38" s="148">
        <v>45383</v>
      </c>
      <c r="N38" s="127">
        <v>2.27</v>
      </c>
      <c r="O38" s="127"/>
      <c r="P38" s="429" t="str">
        <f t="shared" si="16"/>
        <v/>
      </c>
    </row>
    <row r="39" spans="1:20" ht="15.75" thickBot="1" x14ac:dyDescent="0.3">
      <c r="A39" s="442"/>
      <c r="B39" s="459" t="str">
        <v>Toro</v>
      </c>
      <c r="C39" s="128">
        <f>COUNTIFS(Fichas[Tipo],B39,Fichas[Status],"Vivos")</f>
        <v>0</v>
      </c>
      <c r="E39" s="518">
        <f t="shared" ref="E39:E47" si="17">IF(F39&lt;&gt;"",E38+1,"")</f>
        <v>2</v>
      </c>
      <c r="F39" s="438">
        <v>45238</v>
      </c>
      <c r="G39" s="40" t="str">
        <v>Hembra</v>
      </c>
      <c r="H39" s="127">
        <v>0</v>
      </c>
      <c r="I39" s="438"/>
      <c r="J39" s="148">
        <v>45919</v>
      </c>
      <c r="K39" s="127" t="str">
        <v>9009 Sicario</v>
      </c>
      <c r="M39" s="148">
        <v>45397</v>
      </c>
      <c r="N39" s="127">
        <v>2.9049999999999998</v>
      </c>
      <c r="O39" s="127"/>
      <c r="P39" s="429" t="str">
        <f t="shared" si="16"/>
        <v/>
      </c>
    </row>
    <row r="40" spans="1:20" x14ac:dyDescent="0.25">
      <c r="A40" s="442"/>
      <c r="B40" s="459" t="str">
        <v>Becerros</v>
      </c>
      <c r="C40" s="455">
        <f>COUNTIFS(Fichas[Tipo],B40,Fichas[Status],"Vivos")</f>
        <v>14</v>
      </c>
      <c r="D40" s="515" t="str">
        <f>CONCATENATE("M ",COUNTIFS(Fichas[Tipo],B40,Fichas[Status],"Vivos",Fichas[Sexo],"Macho"))</f>
        <v>M 10</v>
      </c>
      <c r="E40" s="518">
        <f t="shared" si="17"/>
        <v>3</v>
      </c>
      <c r="F40" s="438">
        <v>45586</v>
      </c>
      <c r="G40" s="40" t="str">
        <v>Hembra</v>
      </c>
      <c r="H40" s="127">
        <v>46</v>
      </c>
      <c r="I40" s="438"/>
      <c r="J40" s="148"/>
      <c r="K40" s="127"/>
      <c r="M40" s="148">
        <v>45412</v>
      </c>
      <c r="N40" s="127">
        <v>4.0350000000000001</v>
      </c>
      <c r="O40" s="127"/>
      <c r="P40" s="429" t="str">
        <f t="shared" si="16"/>
        <v/>
      </c>
    </row>
    <row r="41" spans="1:20" ht="15.75" thickBot="1" x14ac:dyDescent="0.3">
      <c r="A41" s="442"/>
      <c r="B41" s="459" t="str">
        <v>Padrote</v>
      </c>
      <c r="C41" s="455">
        <f>COUNTIFS(Fichas[Tipo],B41,Fichas[Status],"Vivos")</f>
        <v>1</v>
      </c>
      <c r="D41" s="516" t="str">
        <f>CONCATENATE("H ",COUNTIFS(Fichas[Tipo],B40,Fichas[Status],"Vivos",Fichas[Sexo],"Hembra"))</f>
        <v>H 4</v>
      </c>
      <c r="E41" s="518">
        <f t="shared" si="17"/>
        <v>4</v>
      </c>
      <c r="F41" s="438">
        <v>45892</v>
      </c>
      <c r="G41" s="40" t="str">
        <v>Hembra</v>
      </c>
      <c r="H41" s="127">
        <v>0</v>
      </c>
      <c r="I41" s="438"/>
      <c r="J41" s="148"/>
      <c r="K41" s="127"/>
      <c r="M41" s="148">
        <v>45427</v>
      </c>
      <c r="N41" s="127">
        <v>3.5150000000000001</v>
      </c>
      <c r="O41" s="127"/>
      <c r="P41" s="429" t="str">
        <f t="shared" si="16"/>
        <v/>
      </c>
    </row>
    <row r="42" spans="1:20" x14ac:dyDescent="0.25">
      <c r="A42" s="443"/>
      <c r="B42" s="459" t="str">
        <v>Mauta</v>
      </c>
      <c r="C42" s="128">
        <f>COUNTIFS(Fichas[Tipo],B42,Fichas[Status],"Vivos")</f>
        <v>10</v>
      </c>
      <c r="E42" s="518" t="str">
        <f t="shared" si="17"/>
        <v/>
      </c>
      <c r="F42" s="438"/>
      <c r="G42" s="40"/>
      <c r="H42" s="127"/>
      <c r="I42" s="438"/>
      <c r="J42" s="148"/>
      <c r="K42" s="127"/>
      <c r="M42" s="148">
        <v>45442</v>
      </c>
      <c r="N42" s="127">
        <v>3.97</v>
      </c>
      <c r="O42" s="127"/>
      <c r="P42" s="429"/>
    </row>
    <row r="43" spans="1:20" ht="15.75" thickBot="1" x14ac:dyDescent="0.3">
      <c r="A43" s="443"/>
      <c r="B43" s="460" t="str">
        <v>Maute</v>
      </c>
      <c r="C43" s="129">
        <f>COUNTIFS(Fichas[Tipo],B43,Fichas[Status],"Vivos")</f>
        <v>0</v>
      </c>
      <c r="E43" s="518" t="str">
        <f t="shared" si="17"/>
        <v/>
      </c>
      <c r="F43" s="438"/>
      <c r="G43" s="40"/>
      <c r="H43" s="127"/>
      <c r="I43" s="438"/>
      <c r="J43" s="148"/>
      <c r="K43" s="436"/>
      <c r="M43" s="148">
        <v>45458</v>
      </c>
      <c r="N43" s="127">
        <v>4.0199999999999996</v>
      </c>
      <c r="O43" s="127"/>
      <c r="P43" s="429"/>
    </row>
    <row r="44" spans="1:20" ht="15.75" thickBot="1" x14ac:dyDescent="0.3">
      <c r="A44" s="443"/>
      <c r="B44" s="460" t="str">
        <v>Becerras</v>
      </c>
      <c r="C44" s="129">
        <f>COUNTIFS(Fichas[Tipo],B44,Fichas[Status],"Vivos")</f>
        <v>10</v>
      </c>
      <c r="E44" s="518" t="str">
        <f t="shared" si="17"/>
        <v/>
      </c>
      <c r="F44" s="438"/>
      <c r="G44" s="40"/>
      <c r="H44" s="127"/>
      <c r="I44" s="438"/>
      <c r="J44" s="148"/>
      <c r="K44" s="436"/>
      <c r="M44" s="148">
        <v>45473</v>
      </c>
      <c r="N44" s="127">
        <v>3.95</v>
      </c>
      <c r="O44" s="127"/>
      <c r="P44" s="429"/>
    </row>
    <row r="45" spans="1:20" ht="15.75" thickBot="1" x14ac:dyDescent="0.3">
      <c r="A45" s="443"/>
      <c r="B45" s="460" t="str">
        <v>Novilla</v>
      </c>
      <c r="C45" s="129">
        <f>COUNTIFS(Fichas[Tipo],B45,Fichas[Status],"Vivos")</f>
        <v>1</v>
      </c>
      <c r="E45" s="518" t="str">
        <f t="shared" si="17"/>
        <v/>
      </c>
      <c r="F45" s="438"/>
      <c r="G45" s="40"/>
      <c r="H45" s="127"/>
      <c r="J45" s="148"/>
      <c r="K45" s="436"/>
      <c r="M45" s="148">
        <v>45488</v>
      </c>
      <c r="N45" s="127">
        <v>3.585</v>
      </c>
      <c r="O45" s="127"/>
      <c r="P45" s="429"/>
    </row>
    <row r="46" spans="1:20" ht="15.75" thickBot="1" x14ac:dyDescent="0.3">
      <c r="A46" s="548" t="s">
        <v>213</v>
      </c>
      <c r="C46" s="463">
        <f>SUM(C38:C45)</f>
        <v>56</v>
      </c>
      <c r="E46" s="518" t="str">
        <f t="shared" si="17"/>
        <v/>
      </c>
      <c r="F46" s="438"/>
      <c r="G46" s="40"/>
      <c r="H46" s="127"/>
      <c r="J46" s="148"/>
      <c r="K46" s="436"/>
      <c r="M46" s="148">
        <v>45504</v>
      </c>
      <c r="N46" s="127">
        <v>2.5499999999999998</v>
      </c>
      <c r="O46" s="127"/>
      <c r="P46" s="429"/>
    </row>
    <row r="47" spans="1:20" ht="15.75" thickBot="1" x14ac:dyDescent="0.3">
      <c r="A47" s="70" t="str" cm="1">
        <f t="array" ref="A47:A56">_xlfn.UNIQUE(Fichas[Lote])</f>
        <v>Ordeño</v>
      </c>
      <c r="B47" s="70">
        <f>COUNTIFS(Fichas[Lote],A47,Fichas[Status],"Vivos")</f>
        <v>20</v>
      </c>
      <c r="E47" s="467" t="str">
        <f t="shared" si="17"/>
        <v/>
      </c>
      <c r="F47" s="517"/>
      <c r="G47" s="16"/>
      <c r="H47" s="129"/>
      <c r="J47" s="140"/>
      <c r="K47" s="437"/>
      <c r="L47" s="279"/>
      <c r="M47" s="148">
        <v>45519</v>
      </c>
      <c r="N47" s="127">
        <v>2.5499999999999998</v>
      </c>
      <c r="O47" s="127"/>
      <c r="P47" s="429"/>
    </row>
    <row r="48" spans="1:20" x14ac:dyDescent="0.25">
      <c r="A48" s="70" t="str">
        <v>Vendida</v>
      </c>
      <c r="B48" s="70">
        <f>COUNTIFS(Fichas[Lote],A48,Fichas[Status],"Vivos")</f>
        <v>0</v>
      </c>
      <c r="M48" s="148">
        <v>45535</v>
      </c>
      <c r="N48" s="127">
        <v>1.24</v>
      </c>
      <c r="O48" s="127"/>
    </row>
    <row r="49" spans="1:15" x14ac:dyDescent="0.25">
      <c r="A49" s="70" t="str">
        <v>Vaca</v>
      </c>
      <c r="B49" s="70">
        <f>COUNTIFS(Fichas[Lote],A49,Fichas[Status],"Vivos")</f>
        <v>0</v>
      </c>
      <c r="J49" s="5"/>
      <c r="M49" s="148">
        <v>45550</v>
      </c>
      <c r="N49" s="127">
        <v>1.45</v>
      </c>
      <c r="O49" s="127"/>
    </row>
    <row r="50" spans="1:15" x14ac:dyDescent="0.25">
      <c r="A50" s="70" t="str">
        <v>Becerros</v>
      </c>
      <c r="B50" s="70">
        <f>COUNTIFS(Fichas[Lote],A50,Fichas[Status],"Vivos")</f>
        <v>0</v>
      </c>
      <c r="H50" s="281"/>
      <c r="M50" s="148">
        <v>45565</v>
      </c>
      <c r="N50" s="127">
        <v>0</v>
      </c>
      <c r="O50" s="127"/>
    </row>
    <row r="51" spans="1:15" x14ac:dyDescent="0.25">
      <c r="A51" s="70" t="str">
        <v>Horras</v>
      </c>
      <c r="B51" s="70">
        <f>COUNTIFS(Fichas[Lote],A51,Fichas[Status],"Vivos")</f>
        <v>0</v>
      </c>
      <c r="H51" s="283"/>
      <c r="M51" s="148">
        <v>45580</v>
      </c>
      <c r="N51" s="127">
        <v>0</v>
      </c>
      <c r="O51" s="127"/>
    </row>
    <row r="52" spans="1:15" x14ac:dyDescent="0.25">
      <c r="A52" s="70" t="str">
        <v>Toro</v>
      </c>
      <c r="B52" s="70">
        <f>COUNTIFS(Fichas[Lote],A52,Fichas[Status],"Vivos")</f>
        <v>1</v>
      </c>
      <c r="C52" s="70"/>
      <c r="M52" s="148">
        <v>45595</v>
      </c>
      <c r="N52" s="127">
        <v>4.2649999999999997</v>
      </c>
      <c r="O52" s="127"/>
    </row>
    <row r="53" spans="1:15" x14ac:dyDescent="0.25">
      <c r="A53" s="70" t="str">
        <v>B Ordeño</v>
      </c>
      <c r="B53" s="70">
        <f>COUNTIFS(Fichas[Lote],A53,Fichas[Status],"Vivos")</f>
        <v>24</v>
      </c>
      <c r="C53" s="70" t="str">
        <f>CONCATENATE(CONCATENATE("M ",COUNTIFS(Fichas[Lote],A53,Fichas[Status],"Vivos",Fichas[Sexo],"Macho")), CONCATENATE("  H ",COUNTIFS(Fichas[Lote],A53,Fichas[Status],"Vivos",Fichas[Sexo],"Hembra")))</f>
        <v>M 10  H 14</v>
      </c>
      <c r="M53" s="148">
        <v>45611</v>
      </c>
      <c r="N53" s="127">
        <v>3.4049999999999998</v>
      </c>
      <c r="O53" s="127"/>
    </row>
    <row r="54" spans="1:15" x14ac:dyDescent="0.25">
      <c r="A54" s="70" t="str">
        <v>Mauta</v>
      </c>
      <c r="B54" s="70">
        <f>COUNTIFS(Fichas[Lote],A54,Fichas[Status],"Vivos")</f>
        <v>10</v>
      </c>
      <c r="M54" s="148">
        <v>45626</v>
      </c>
      <c r="N54" s="127">
        <v>3.96</v>
      </c>
      <c r="O54" s="127"/>
    </row>
    <row r="55" spans="1:15" x14ac:dyDescent="0.25">
      <c r="A55" s="70" t="str">
        <v>Maute</v>
      </c>
      <c r="B55" s="70">
        <f>COUNTIFS(Fichas[Lote],A55,Fichas[Status],"Vivos")</f>
        <v>0</v>
      </c>
      <c r="M55" s="148">
        <v>45641</v>
      </c>
      <c r="N55" s="127">
        <v>4.0350000000000001</v>
      </c>
      <c r="O55" s="127"/>
    </row>
    <row r="56" spans="1:15" x14ac:dyDescent="0.25">
      <c r="A56" s="262" t="str">
        <v>Novillas</v>
      </c>
      <c r="B56" s="70">
        <f>COUNTIFS(Fichas[Lote],A56,Fichas[Status],"Vivos")</f>
        <v>1</v>
      </c>
      <c r="M56" s="148">
        <v>45656</v>
      </c>
      <c r="N56" s="127">
        <v>3.7949999999999999</v>
      </c>
      <c r="O56" s="127"/>
    </row>
    <row r="57" spans="1:15" ht="15.75" x14ac:dyDescent="0.25">
      <c r="A57" s="443"/>
      <c r="B57" s="276">
        <f>B47+SUM(B49:B56)</f>
        <v>56</v>
      </c>
      <c r="M57" s="148">
        <v>45672</v>
      </c>
      <c r="N57" s="127">
        <v>4.1100000000000003</v>
      </c>
      <c r="O57" s="127"/>
    </row>
    <row r="58" spans="1:15" x14ac:dyDescent="0.25">
      <c r="A58" s="443"/>
      <c r="M58" s="148">
        <v>45687</v>
      </c>
      <c r="N58" s="127">
        <v>4.03</v>
      </c>
      <c r="O58" s="127"/>
    </row>
    <row r="59" spans="1:15" x14ac:dyDescent="0.25">
      <c r="A59" s="443"/>
      <c r="M59" s="148">
        <v>45703</v>
      </c>
      <c r="N59" s="127">
        <v>2.61</v>
      </c>
      <c r="O59" s="127"/>
    </row>
    <row r="60" spans="1:15" x14ac:dyDescent="0.25">
      <c r="A60" s="443"/>
      <c r="M60" s="148">
        <v>45717</v>
      </c>
      <c r="N60" s="127">
        <v>3.15</v>
      </c>
      <c r="O60" s="127"/>
    </row>
    <row r="61" spans="1:15" x14ac:dyDescent="0.25">
      <c r="M61" s="148">
        <v>45731</v>
      </c>
      <c r="N61" s="127">
        <v>3.165</v>
      </c>
      <c r="O61" s="127"/>
    </row>
    <row r="62" spans="1:15" x14ac:dyDescent="0.25">
      <c r="M62" s="148">
        <v>45746</v>
      </c>
      <c r="N62" s="127">
        <v>3.1949999999999998</v>
      </c>
      <c r="O62" s="127"/>
    </row>
    <row r="63" spans="1:15" x14ac:dyDescent="0.25">
      <c r="M63" s="148">
        <v>45762</v>
      </c>
      <c r="N63" s="127">
        <v>3.3450000000000002</v>
      </c>
      <c r="O63" s="127"/>
    </row>
    <row r="64" spans="1:15" x14ac:dyDescent="0.25">
      <c r="M64" s="148">
        <v>45776</v>
      </c>
      <c r="N64" s="127">
        <v>4.0549999999999997</v>
      </c>
      <c r="O64" s="127"/>
    </row>
    <row r="65" spans="13:15" x14ac:dyDescent="0.25">
      <c r="M65" s="148">
        <v>45792</v>
      </c>
      <c r="N65" s="127">
        <v>3.1749999999999998</v>
      </c>
      <c r="O65" s="127"/>
    </row>
    <row r="66" spans="13:15" x14ac:dyDescent="0.25">
      <c r="M66" s="148">
        <v>45807</v>
      </c>
      <c r="N66" s="127">
        <v>3.2450000000000001</v>
      </c>
      <c r="O66" s="127"/>
    </row>
    <row r="67" spans="13:15" x14ac:dyDescent="0.25">
      <c r="M67" s="148">
        <v>45823</v>
      </c>
      <c r="N67" s="127">
        <v>2.0750000000000002</v>
      </c>
      <c r="O67" s="127"/>
    </row>
    <row r="68" spans="13:15" x14ac:dyDescent="0.25">
      <c r="M68" s="148">
        <v>45838</v>
      </c>
      <c r="N68" s="127">
        <v>1.5549999999999999</v>
      </c>
      <c r="O68" s="127"/>
    </row>
    <row r="69" spans="13:15" x14ac:dyDescent="0.25">
      <c r="M69" s="148">
        <v>45853</v>
      </c>
      <c r="N69" s="127">
        <v>-0.86499999999999999</v>
      </c>
      <c r="O69" s="127"/>
    </row>
    <row r="70" spans="13:15" x14ac:dyDescent="0.25">
      <c r="M70" s="148">
        <v>45868</v>
      </c>
      <c r="N70" s="127">
        <v>0</v>
      </c>
      <c r="O70" s="127"/>
    </row>
    <row r="71" spans="13:15" x14ac:dyDescent="0.25">
      <c r="M71" s="148">
        <v>45884</v>
      </c>
      <c r="N71" s="127">
        <v>0</v>
      </c>
      <c r="O71" s="127"/>
    </row>
    <row r="72" spans="13:15" x14ac:dyDescent="0.25">
      <c r="M72" s="148">
        <v>45899</v>
      </c>
      <c r="N72" s="127">
        <v>6.62</v>
      </c>
      <c r="O72" s="127"/>
    </row>
    <row r="73" spans="13:15" x14ac:dyDescent="0.25">
      <c r="M73" s="148">
        <v>45915</v>
      </c>
      <c r="N73" s="127">
        <v>4.875</v>
      </c>
      <c r="O73" s="127"/>
    </row>
    <row r="74" spans="13:15" x14ac:dyDescent="0.25">
      <c r="M74" s="148">
        <v>45930</v>
      </c>
      <c r="N74" s="127">
        <v>4.9000000000000004</v>
      </c>
      <c r="O74" s="127"/>
    </row>
    <row r="75" spans="13:15" x14ac:dyDescent="0.25">
      <c r="M75">
        <v>45945</v>
      </c>
      <c r="N75">
        <v>5.5549999999999997</v>
      </c>
    </row>
    <row r="76" spans="13:15" x14ac:dyDescent="0.25">
      <c r="M76">
        <v>45960</v>
      </c>
      <c r="N76">
        <v>4.665</v>
      </c>
    </row>
    <row r="77" spans="13:15" x14ac:dyDescent="0.25">
      <c r="M77">
        <v>45976</v>
      </c>
      <c r="N77">
        <v>4.4249999999999998</v>
      </c>
    </row>
    <row r="85" spans="18:18" x14ac:dyDescent="0.25">
      <c r="R85" s="429"/>
    </row>
  </sheetData>
  <phoneticPr fontId="3" type="noConversion"/>
  <conditionalFormatting sqref="A4:H20 A22">
    <cfRule type="expression" dxfId="215" priority="84">
      <formula>$B4&lt;&gt;""</formula>
    </cfRule>
  </conditionalFormatting>
  <conditionalFormatting sqref="N28:N49 N1">
    <cfRule type="cellIs" dxfId="214" priority="22" operator="equal">
      <formula>0</formula>
    </cfRule>
  </conditionalFormatting>
  <conditionalFormatting sqref="N50:N55">
    <cfRule type="cellIs" dxfId="213" priority="16" operator="equal">
      <formula>0</formula>
    </cfRule>
  </conditionalFormatting>
  <conditionalFormatting sqref="N56:N58">
    <cfRule type="cellIs" dxfId="212" priority="13" operator="equal">
      <formula>0</formula>
    </cfRule>
  </conditionalFormatting>
  <conditionalFormatting sqref="T4:T20">
    <cfRule type="cellIs" dxfId="211" priority="11" stopIfTrue="1" operator="greaterThan">
      <formula>7</formula>
    </cfRule>
    <cfRule type="cellIs" dxfId="210" priority="12" operator="between">
      <formula>5</formula>
      <formula>7</formula>
    </cfRule>
  </conditionalFormatting>
  <conditionalFormatting sqref="N59">
    <cfRule type="cellIs" dxfId="209" priority="10" operator="equal">
      <formula>0</formula>
    </cfRule>
  </conditionalFormatting>
  <conditionalFormatting sqref="N60">
    <cfRule type="cellIs" dxfId="208" priority="9" operator="equal">
      <formula>0</formula>
    </cfRule>
  </conditionalFormatting>
  <conditionalFormatting sqref="L4:L20">
    <cfRule type="cellIs" dxfId="207" priority="7" operator="lessThan">
      <formula>$L$25</formula>
    </cfRule>
  </conditionalFormatting>
  <conditionalFormatting sqref="L47">
    <cfRule type="expression" dxfId="206" priority="87">
      <formula>#REF!&lt;&gt;""</formula>
    </cfRule>
  </conditionalFormatting>
  <conditionalFormatting sqref="N61">
    <cfRule type="cellIs" dxfId="205" priority="6" operator="equal">
      <formula>0</formula>
    </cfRule>
  </conditionalFormatting>
  <conditionalFormatting sqref="N62:N74">
    <cfRule type="cellIs" dxfId="204" priority="5" operator="equal">
      <formula>0</formula>
    </cfRule>
  </conditionalFormatting>
  <conditionalFormatting sqref="A21:H21 B22:H23 A23 A24:H24">
    <cfRule type="expression" dxfId="203" priority="4">
      <formula>$B21&lt;&gt;""</formula>
    </cfRule>
  </conditionalFormatting>
  <conditionalFormatting sqref="T21:T24">
    <cfRule type="cellIs" dxfId="202" priority="2" stopIfTrue="1" operator="greaterThan">
      <formula>7</formula>
    </cfRule>
    <cfRule type="cellIs" dxfId="201" priority="3" operator="between">
      <formula>5</formula>
      <formula>7</formula>
    </cfRule>
  </conditionalFormatting>
  <conditionalFormatting sqref="L21:L24">
    <cfRule type="cellIs" dxfId="200" priority="1" operator="lessThan">
      <formula>$L$25</formula>
    </cfRule>
  </conditionalFormatting>
  <dataValidations count="5">
    <dataValidation allowBlank="1" showDropDown="1" showInputMessage="1" showErrorMessage="1" sqref="B28" xr:uid="{00000000-0002-0000-0000-000000000000}"/>
    <dataValidation type="list" allowBlank="1" showInputMessage="1" showErrorMessage="1" sqref="D2" xr:uid="{37F430C0-08C7-4458-9395-B758B3EF5576}">
      <formula1>$A$30:$A$32</formula1>
    </dataValidation>
    <dataValidation type="list" allowBlank="1" showInputMessage="1" showErrorMessage="1" sqref="B2" xr:uid="{00000000-0002-0000-0000-000004000000}">
      <formula1>_xlfn.ANCHORARRAY($B$38)</formula1>
    </dataValidation>
    <dataValidation type="list" allowBlank="1" showInputMessage="1" showErrorMessage="1" sqref="C2" xr:uid="{1D18081E-DFED-4ADD-A8FB-A90C9AC02751}">
      <formula1>_xlfn.ANCHORARRAY($A$47)</formula1>
    </dataValidation>
    <dataValidation type="list" allowBlank="1" showInputMessage="1" showErrorMessage="1" sqref="B26" xr:uid="{00000000-0002-0000-0000-000006000000}">
      <formula1>$B$4:$B$20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BM133"/>
  <sheetViews>
    <sheetView tabSelected="1" topLeftCell="A103" workbookViewId="0">
      <selection activeCell="N91" sqref="N91"/>
    </sheetView>
  </sheetViews>
  <sheetFormatPr baseColWidth="10" defaultColWidth="10.7109375" defaultRowHeight="15" x14ac:dyDescent="0.25"/>
  <cols>
    <col min="1" max="1" width="11.5703125" style="113" customWidth="1"/>
    <col min="2" max="2" width="21" customWidth="1"/>
    <col min="3" max="3" width="16.5703125" customWidth="1"/>
    <col min="4" max="4" width="8.42578125" customWidth="1"/>
    <col min="5" max="5" width="13.85546875" customWidth="1"/>
    <col min="6" max="6" width="11.28515625" style="1" customWidth="1"/>
    <col min="7" max="7" width="11.42578125" customWidth="1"/>
    <col min="8" max="8" width="10" customWidth="1"/>
    <col min="9" max="9" width="8.140625" customWidth="1"/>
    <col min="10" max="10" width="8.5703125" customWidth="1"/>
    <col min="11" max="11" width="9.5703125" style="1" customWidth="1"/>
    <col min="12" max="12" width="11.5703125" style="1" customWidth="1"/>
    <col min="13" max="13" width="21.42578125" customWidth="1"/>
    <col min="14" max="14" width="16.28515625" customWidth="1"/>
    <col min="15" max="15" width="7.85546875" customWidth="1"/>
    <col min="16" max="16" width="7" style="119" customWidth="1"/>
    <col min="17" max="17" width="16.7109375" customWidth="1"/>
    <col min="18" max="18" width="15.85546875" customWidth="1"/>
    <col min="19" max="19" width="14.42578125" customWidth="1"/>
    <col min="20" max="20" width="17.28515625" customWidth="1"/>
    <col min="27" max="27" width="0" hidden="1" customWidth="1"/>
    <col min="46" max="46" width="0" hidden="1" customWidth="1"/>
    <col min="48" max="48" width="0" hidden="1" customWidth="1"/>
    <col min="57" max="57" width="0" hidden="1" customWidth="1"/>
    <col min="63" max="63" width="0" hidden="1" customWidth="1"/>
    <col min="65" max="65" width="0" hidden="1" customWidth="1"/>
  </cols>
  <sheetData>
    <row r="1" spans="1:18" s="1" customFormat="1" ht="17.25" customHeight="1" x14ac:dyDescent="0.25">
      <c r="A1" s="586" t="s">
        <v>752</v>
      </c>
      <c r="B1" s="1">
        <v>1</v>
      </c>
      <c r="C1" s="586" t="s">
        <v>753</v>
      </c>
      <c r="D1" s="586" t="s">
        <v>754</v>
      </c>
      <c r="E1" s="1">
        <v>4</v>
      </c>
      <c r="F1" s="586" t="s">
        <v>755</v>
      </c>
      <c r="G1" s="586" t="s">
        <v>756</v>
      </c>
      <c r="H1" s="1">
        <v>7</v>
      </c>
      <c r="I1" s="1">
        <v>8</v>
      </c>
      <c r="J1" s="1">
        <v>9</v>
      </c>
      <c r="M1" s="587">
        <f ca="1">TODAY()</f>
        <v>46087</v>
      </c>
      <c r="N1" s="588"/>
      <c r="P1" s="119"/>
    </row>
    <row r="2" spans="1:18" x14ac:dyDescent="0.25">
      <c r="H2" s="70"/>
      <c r="I2" s="589" t="s">
        <v>45</v>
      </c>
      <c r="J2" s="589"/>
      <c r="K2" s="589"/>
    </row>
    <row r="3" spans="1:18" x14ac:dyDescent="0.25">
      <c r="A3" s="164" t="s">
        <v>0</v>
      </c>
      <c r="B3" s="165" t="s">
        <v>1</v>
      </c>
      <c r="C3" s="165" t="s">
        <v>406</v>
      </c>
      <c r="D3" s="165" t="s">
        <v>26</v>
      </c>
      <c r="E3" s="165" t="s">
        <v>402</v>
      </c>
      <c r="F3" s="165" t="s">
        <v>716</v>
      </c>
      <c r="G3" s="165" t="s">
        <v>331</v>
      </c>
      <c r="H3" s="165" t="s">
        <v>213</v>
      </c>
      <c r="I3" s="165" t="s">
        <v>51</v>
      </c>
      <c r="J3" s="165" t="s">
        <v>46</v>
      </c>
      <c r="K3" s="165" t="s">
        <v>47</v>
      </c>
      <c r="L3" s="165" t="s">
        <v>48</v>
      </c>
      <c r="M3" s="166" t="s">
        <v>472</v>
      </c>
      <c r="N3" s="165" t="s">
        <v>473</v>
      </c>
      <c r="O3" s="165" t="s">
        <v>27</v>
      </c>
      <c r="P3" s="165" t="s">
        <v>212</v>
      </c>
      <c r="Q3" s="227" t="s">
        <v>471</v>
      </c>
      <c r="R3" s="165" t="s">
        <v>53</v>
      </c>
    </row>
    <row r="4" spans="1:18" x14ac:dyDescent="0.25">
      <c r="A4" s="164" t="s">
        <v>190</v>
      </c>
      <c r="B4" s="165" t="s">
        <v>203</v>
      </c>
      <c r="C4" s="167">
        <v>42005</v>
      </c>
      <c r="D4" s="165" t="s">
        <v>23</v>
      </c>
      <c r="E4" s="165" t="s">
        <v>416</v>
      </c>
      <c r="F4" s="165" t="s">
        <v>717</v>
      </c>
      <c r="G4" s="165" t="s">
        <v>332</v>
      </c>
      <c r="H4" s="165" t="s">
        <v>101</v>
      </c>
      <c r="I4" s="165" t="s">
        <v>214</v>
      </c>
      <c r="J4" s="165">
        <f t="shared" ref="J4:J35" ca="1" si="0">INT((TODAY()-C4)/365)</f>
        <v>11</v>
      </c>
      <c r="K4" s="165">
        <f t="shared" ref="K4:K20" ca="1" si="1">INT(((((TODAY()-C4)/365)-J4)*365)/30)</f>
        <v>2</v>
      </c>
      <c r="L4" s="168">
        <f t="shared" ref="L4:L35" ca="1" si="2">TRUNC(((((((TODAY()-C4)/365)-INT((TODAY()-C4)/365))*365)/30)-(K4))*30,0)</f>
        <v>7</v>
      </c>
      <c r="M4" s="164"/>
      <c r="N4" s="165"/>
      <c r="O4" s="165"/>
      <c r="P4" s="165"/>
      <c r="Q4" s="227">
        <v>7</v>
      </c>
      <c r="R4" s="165"/>
    </row>
    <row r="5" spans="1:18" x14ac:dyDescent="0.25">
      <c r="A5" s="164" t="s">
        <v>191</v>
      </c>
      <c r="B5" s="165" t="s">
        <v>204</v>
      </c>
      <c r="C5" s="167">
        <v>42005</v>
      </c>
      <c r="D5" s="165" t="s">
        <v>23</v>
      </c>
      <c r="E5" s="165" t="s">
        <v>416</v>
      </c>
      <c r="F5" s="165" t="s">
        <v>717</v>
      </c>
      <c r="G5" s="165" t="s">
        <v>332</v>
      </c>
      <c r="H5" s="165" t="s">
        <v>101</v>
      </c>
      <c r="I5" s="165" t="s">
        <v>214</v>
      </c>
      <c r="J5" s="165">
        <f t="shared" ca="1" si="0"/>
        <v>11</v>
      </c>
      <c r="K5" s="165">
        <f t="shared" ca="1" si="1"/>
        <v>2</v>
      </c>
      <c r="L5" s="168">
        <f t="shared" ca="1" si="2"/>
        <v>7</v>
      </c>
      <c r="M5" s="164"/>
      <c r="N5" s="165"/>
      <c r="O5" s="165"/>
      <c r="P5" s="165"/>
      <c r="Q5" s="227">
        <v>7</v>
      </c>
      <c r="R5" s="165"/>
    </row>
    <row r="6" spans="1:18" x14ac:dyDescent="0.25">
      <c r="A6" s="164" t="s">
        <v>192</v>
      </c>
      <c r="B6" s="165" t="s">
        <v>205</v>
      </c>
      <c r="C6" s="167">
        <v>42005</v>
      </c>
      <c r="D6" s="165" t="s">
        <v>23</v>
      </c>
      <c r="E6" s="165" t="s">
        <v>416</v>
      </c>
      <c r="F6" s="165"/>
      <c r="G6" s="165" t="s">
        <v>332</v>
      </c>
      <c r="H6" s="165" t="s">
        <v>101</v>
      </c>
      <c r="I6" s="165" t="s">
        <v>52</v>
      </c>
      <c r="J6" s="165">
        <f t="shared" ca="1" si="0"/>
        <v>11</v>
      </c>
      <c r="K6" s="165">
        <f t="shared" ca="1" si="1"/>
        <v>2</v>
      </c>
      <c r="L6" s="168">
        <f t="shared" ca="1" si="2"/>
        <v>7</v>
      </c>
      <c r="M6" s="164"/>
      <c r="N6" s="165"/>
      <c r="O6" s="165"/>
      <c r="P6" s="165"/>
      <c r="Q6" s="227">
        <v>7</v>
      </c>
      <c r="R6" s="165"/>
    </row>
    <row r="7" spans="1:18" x14ac:dyDescent="0.25">
      <c r="A7" s="164" t="s">
        <v>306</v>
      </c>
      <c r="B7" s="165" t="s">
        <v>202</v>
      </c>
      <c r="C7" s="167">
        <v>42005</v>
      </c>
      <c r="D7" s="165" t="s">
        <v>23</v>
      </c>
      <c r="E7" s="165" t="s">
        <v>416</v>
      </c>
      <c r="F7" s="165"/>
      <c r="G7" s="165" t="s">
        <v>332</v>
      </c>
      <c r="H7" s="165" t="s">
        <v>101</v>
      </c>
      <c r="I7" s="165" t="s">
        <v>52</v>
      </c>
      <c r="J7" s="165">
        <f t="shared" ca="1" si="0"/>
        <v>11</v>
      </c>
      <c r="K7" s="165">
        <f t="shared" ca="1" si="1"/>
        <v>2</v>
      </c>
      <c r="L7" s="168">
        <f t="shared" ca="1" si="2"/>
        <v>7</v>
      </c>
      <c r="M7" s="164"/>
      <c r="N7" s="165"/>
      <c r="O7" s="165"/>
      <c r="P7" s="165"/>
      <c r="Q7" s="227">
        <v>5</v>
      </c>
      <c r="R7" s="165" t="s">
        <v>479</v>
      </c>
    </row>
    <row r="8" spans="1:18" x14ac:dyDescent="0.25">
      <c r="A8" s="164" t="s">
        <v>185</v>
      </c>
      <c r="B8" s="165" t="s">
        <v>198</v>
      </c>
      <c r="C8" s="167">
        <v>42005</v>
      </c>
      <c r="D8" s="165" t="s">
        <v>23</v>
      </c>
      <c r="E8" s="165" t="s">
        <v>420</v>
      </c>
      <c r="F8" s="165"/>
      <c r="G8" s="165" t="s">
        <v>332</v>
      </c>
      <c r="H8" s="165" t="s">
        <v>52</v>
      </c>
      <c r="I8" s="165" t="s">
        <v>52</v>
      </c>
      <c r="J8" s="165">
        <f t="shared" ca="1" si="0"/>
        <v>11</v>
      </c>
      <c r="K8" s="165">
        <f t="shared" ca="1" si="1"/>
        <v>2</v>
      </c>
      <c r="L8" s="168">
        <f t="shared" ca="1" si="2"/>
        <v>7</v>
      </c>
      <c r="M8" s="164"/>
      <c r="N8" s="165"/>
      <c r="O8" s="165"/>
      <c r="P8" s="165"/>
      <c r="Q8" s="227">
        <v>7</v>
      </c>
      <c r="R8" s="165"/>
    </row>
    <row r="9" spans="1:18" x14ac:dyDescent="0.25">
      <c r="A9" s="164" t="s">
        <v>188</v>
      </c>
      <c r="B9" s="165" t="s">
        <v>201</v>
      </c>
      <c r="C9" s="167">
        <v>42005</v>
      </c>
      <c r="D9" s="165" t="s">
        <v>23</v>
      </c>
      <c r="E9" s="165" t="s">
        <v>416</v>
      </c>
      <c r="F9" s="165"/>
      <c r="G9" s="165" t="s">
        <v>332</v>
      </c>
      <c r="H9" s="165" t="s">
        <v>52</v>
      </c>
      <c r="I9" s="165" t="s">
        <v>52</v>
      </c>
      <c r="J9" s="165">
        <f t="shared" ca="1" si="0"/>
        <v>11</v>
      </c>
      <c r="K9" s="165">
        <f t="shared" ca="1" si="1"/>
        <v>2</v>
      </c>
      <c r="L9" s="168">
        <f t="shared" ca="1" si="2"/>
        <v>7</v>
      </c>
      <c r="M9" s="166"/>
      <c r="N9" s="165"/>
      <c r="O9" s="165"/>
      <c r="P9" s="165"/>
      <c r="Q9" s="227">
        <v>4</v>
      </c>
      <c r="R9" s="165" t="s">
        <v>52</v>
      </c>
    </row>
    <row r="10" spans="1:18" x14ac:dyDescent="0.25">
      <c r="A10" s="164" t="s">
        <v>184</v>
      </c>
      <c r="B10" s="165" t="s">
        <v>197</v>
      </c>
      <c r="C10" s="167">
        <v>42370</v>
      </c>
      <c r="D10" s="165" t="s">
        <v>23</v>
      </c>
      <c r="E10" s="165" t="s">
        <v>416</v>
      </c>
      <c r="F10" s="165" t="s">
        <v>717</v>
      </c>
      <c r="G10" s="165" t="s">
        <v>332</v>
      </c>
      <c r="H10" s="165" t="s">
        <v>101</v>
      </c>
      <c r="I10" s="165" t="s">
        <v>52</v>
      </c>
      <c r="J10" s="165">
        <f t="shared" ca="1" si="0"/>
        <v>10</v>
      </c>
      <c r="K10" s="165">
        <f t="shared" ca="1" si="1"/>
        <v>2</v>
      </c>
      <c r="L10" s="168">
        <f t="shared" ca="1" si="2"/>
        <v>7</v>
      </c>
      <c r="M10" s="164"/>
      <c r="N10" s="165"/>
      <c r="O10" s="165"/>
      <c r="P10" s="165"/>
      <c r="Q10" s="227">
        <v>7</v>
      </c>
      <c r="R10" s="165" t="s">
        <v>745</v>
      </c>
    </row>
    <row r="11" spans="1:18" x14ac:dyDescent="0.25">
      <c r="A11" s="164" t="s">
        <v>193</v>
      </c>
      <c r="B11" s="165" t="s">
        <v>206</v>
      </c>
      <c r="C11" s="167">
        <v>42370</v>
      </c>
      <c r="D11" s="165" t="s">
        <v>23</v>
      </c>
      <c r="E11" s="165" t="s">
        <v>416</v>
      </c>
      <c r="F11" s="165"/>
      <c r="G11" s="165" t="s">
        <v>332</v>
      </c>
      <c r="H11" s="165" t="s">
        <v>101</v>
      </c>
      <c r="I11" s="165" t="s">
        <v>52</v>
      </c>
      <c r="J11" s="165">
        <f t="shared" ca="1" si="0"/>
        <v>10</v>
      </c>
      <c r="K11" s="165">
        <f t="shared" ca="1" si="1"/>
        <v>2</v>
      </c>
      <c r="L11" s="168">
        <f t="shared" ca="1" si="2"/>
        <v>7</v>
      </c>
      <c r="M11" s="164"/>
      <c r="N11" s="165"/>
      <c r="O11" s="165"/>
      <c r="P11" s="165"/>
      <c r="Q11" s="227">
        <v>5</v>
      </c>
      <c r="R11" s="165" t="s">
        <v>479</v>
      </c>
    </row>
    <row r="12" spans="1:18" ht="14.25" customHeight="1" x14ac:dyDescent="0.25">
      <c r="A12" s="164" t="s">
        <v>186</v>
      </c>
      <c r="B12" s="165" t="s">
        <v>199</v>
      </c>
      <c r="C12" s="167">
        <v>42370</v>
      </c>
      <c r="D12" s="165" t="s">
        <v>23</v>
      </c>
      <c r="E12" s="165"/>
      <c r="F12" s="165"/>
      <c r="G12" s="165" t="s">
        <v>332</v>
      </c>
      <c r="H12" s="165" t="s">
        <v>52</v>
      </c>
      <c r="I12" s="165" t="s">
        <v>52</v>
      </c>
      <c r="J12" s="165">
        <f t="shared" ca="1" si="0"/>
        <v>10</v>
      </c>
      <c r="K12" s="165">
        <f t="shared" ca="1" si="1"/>
        <v>2</v>
      </c>
      <c r="L12" s="168">
        <f t="shared" ca="1" si="2"/>
        <v>7</v>
      </c>
      <c r="M12" s="166"/>
      <c r="N12" s="165"/>
      <c r="O12" s="165"/>
      <c r="P12" s="165"/>
      <c r="Q12" s="227">
        <v>5</v>
      </c>
      <c r="R12" s="165"/>
    </row>
    <row r="13" spans="1:18" ht="14.25" customHeight="1" x14ac:dyDescent="0.25">
      <c r="A13" s="164">
        <v>95</v>
      </c>
      <c r="B13" s="165" t="s">
        <v>3</v>
      </c>
      <c r="C13" s="167">
        <v>42475</v>
      </c>
      <c r="D13" s="165" t="s">
        <v>23</v>
      </c>
      <c r="E13" s="165"/>
      <c r="F13" s="165"/>
      <c r="G13" s="165" t="s">
        <v>332</v>
      </c>
      <c r="H13" s="165" t="s">
        <v>52</v>
      </c>
      <c r="I13" s="165" t="s">
        <v>52</v>
      </c>
      <c r="J13" s="165">
        <f t="shared" ca="1" si="0"/>
        <v>9</v>
      </c>
      <c r="K13" s="165">
        <f t="shared" ca="1" si="1"/>
        <v>10</v>
      </c>
      <c r="L13" s="168">
        <f t="shared" ca="1" si="2"/>
        <v>26</v>
      </c>
      <c r="M13" s="166"/>
      <c r="N13" s="165" t="e">
        <f>VLOOKUP(Fichas[[#This Row],[Num/Madre]],Fichas[],2,FALSE)</f>
        <v>#N/A</v>
      </c>
      <c r="O13" s="165"/>
      <c r="P13" s="165"/>
      <c r="Q13" s="227"/>
      <c r="R13" s="165" t="s">
        <v>54</v>
      </c>
    </row>
    <row r="14" spans="1:18" ht="14.25" customHeight="1" x14ac:dyDescent="0.25">
      <c r="A14" s="164" t="s">
        <v>28</v>
      </c>
      <c r="B14" s="165" t="s">
        <v>25</v>
      </c>
      <c r="C14" s="167">
        <v>42641</v>
      </c>
      <c r="D14" s="165" t="s">
        <v>24</v>
      </c>
      <c r="E14" s="165"/>
      <c r="F14" s="165"/>
      <c r="G14" s="165" t="s">
        <v>25</v>
      </c>
      <c r="H14" s="165" t="s">
        <v>52</v>
      </c>
      <c r="I14" s="165" t="s">
        <v>52</v>
      </c>
      <c r="J14" s="165">
        <f t="shared" ca="1" si="0"/>
        <v>9</v>
      </c>
      <c r="K14" s="165">
        <f t="shared" ca="1" si="1"/>
        <v>5</v>
      </c>
      <c r="L14" s="168">
        <f t="shared" ca="1" si="2"/>
        <v>10</v>
      </c>
      <c r="M14" s="166">
        <v>95</v>
      </c>
      <c r="N14" s="165" t="s">
        <v>3</v>
      </c>
      <c r="O14" s="165"/>
      <c r="P14" s="165"/>
      <c r="Q14" s="227"/>
      <c r="R14" s="165" t="s">
        <v>31</v>
      </c>
    </row>
    <row r="15" spans="1:18" x14ac:dyDescent="0.25">
      <c r="A15" s="164" t="s">
        <v>187</v>
      </c>
      <c r="B15" s="165" t="s">
        <v>200</v>
      </c>
      <c r="C15" s="167">
        <v>42736</v>
      </c>
      <c r="D15" s="165" t="s">
        <v>23</v>
      </c>
      <c r="E15" s="165" t="s">
        <v>423</v>
      </c>
      <c r="F15" s="165"/>
      <c r="G15" s="165" t="s">
        <v>332</v>
      </c>
      <c r="H15" s="165" t="s">
        <v>101</v>
      </c>
      <c r="I15" s="165" t="s">
        <v>52</v>
      </c>
      <c r="J15" s="165">
        <f t="shared" ca="1" si="0"/>
        <v>9</v>
      </c>
      <c r="K15" s="165">
        <f t="shared" ca="1" si="1"/>
        <v>2</v>
      </c>
      <c r="L15" s="168">
        <f t="shared" ca="1" si="2"/>
        <v>5</v>
      </c>
      <c r="M15" s="164"/>
      <c r="N15" s="165"/>
      <c r="O15" s="165"/>
      <c r="P15" s="165"/>
      <c r="Q15" s="227">
        <v>5</v>
      </c>
      <c r="R15" s="165"/>
    </row>
    <row r="16" spans="1:18" x14ac:dyDescent="0.25">
      <c r="A16" s="164" t="s">
        <v>195</v>
      </c>
      <c r="B16" s="165" t="s">
        <v>207</v>
      </c>
      <c r="C16" s="167">
        <v>43101</v>
      </c>
      <c r="D16" s="165" t="s">
        <v>23</v>
      </c>
      <c r="E16" s="165" t="s">
        <v>422</v>
      </c>
      <c r="F16" s="165"/>
      <c r="G16" s="165" t="s">
        <v>332</v>
      </c>
      <c r="H16" s="165" t="s">
        <v>101</v>
      </c>
      <c r="I16" s="165" t="s">
        <v>52</v>
      </c>
      <c r="J16" s="165">
        <f t="shared" ca="1" si="0"/>
        <v>8</v>
      </c>
      <c r="K16" s="165">
        <f t="shared" ca="1" si="1"/>
        <v>2</v>
      </c>
      <c r="L16" s="168">
        <f t="shared" ca="1" si="2"/>
        <v>5</v>
      </c>
      <c r="M16" s="164"/>
      <c r="N16" s="165"/>
      <c r="O16" s="165"/>
      <c r="P16" s="165"/>
      <c r="Q16" s="227">
        <v>4</v>
      </c>
      <c r="R16" s="165"/>
    </row>
    <row r="17" spans="1:18" ht="14.25" customHeight="1" x14ac:dyDescent="0.25">
      <c r="A17" s="164" t="s">
        <v>194</v>
      </c>
      <c r="B17" s="165" t="s">
        <v>209</v>
      </c>
      <c r="C17" s="167">
        <v>43101</v>
      </c>
      <c r="D17" s="165" t="s">
        <v>23</v>
      </c>
      <c r="E17" s="165" t="s">
        <v>421</v>
      </c>
      <c r="F17" s="165"/>
      <c r="G17" s="165" t="s">
        <v>332</v>
      </c>
      <c r="H17" s="165" t="s">
        <v>332</v>
      </c>
      <c r="I17" s="165" t="s">
        <v>52</v>
      </c>
      <c r="J17" s="165">
        <f t="shared" ca="1" si="0"/>
        <v>8</v>
      </c>
      <c r="K17" s="165">
        <f t="shared" ca="1" si="1"/>
        <v>2</v>
      </c>
      <c r="L17" s="168">
        <f t="shared" ca="1" si="2"/>
        <v>5</v>
      </c>
      <c r="M17" s="164"/>
      <c r="N17" s="165"/>
      <c r="O17" s="165"/>
      <c r="P17" s="165"/>
      <c r="Q17" s="227">
        <v>5</v>
      </c>
      <c r="R17" s="165"/>
    </row>
    <row r="18" spans="1:18" x14ac:dyDescent="0.25">
      <c r="A18" s="164" t="s">
        <v>196</v>
      </c>
      <c r="B18" s="165" t="s">
        <v>208</v>
      </c>
      <c r="C18" s="167">
        <v>43101</v>
      </c>
      <c r="D18" s="165" t="s">
        <v>23</v>
      </c>
      <c r="E18" s="165" t="s">
        <v>421</v>
      </c>
      <c r="F18" s="165" t="s">
        <v>717</v>
      </c>
      <c r="G18" s="165" t="s">
        <v>332</v>
      </c>
      <c r="H18" s="165" t="s">
        <v>101</v>
      </c>
      <c r="I18" s="165" t="s">
        <v>214</v>
      </c>
      <c r="J18" s="165">
        <f t="shared" ca="1" si="0"/>
        <v>8</v>
      </c>
      <c r="K18" s="165">
        <f t="shared" ca="1" si="1"/>
        <v>2</v>
      </c>
      <c r="L18" s="168">
        <f t="shared" ca="1" si="2"/>
        <v>5</v>
      </c>
      <c r="M18" s="164"/>
      <c r="N18" s="165"/>
      <c r="O18" s="165"/>
      <c r="P18" s="165"/>
      <c r="Q18" s="227">
        <v>6</v>
      </c>
      <c r="R18" s="165"/>
    </row>
    <row r="19" spans="1:18" x14ac:dyDescent="0.25">
      <c r="A19" s="164" t="s">
        <v>430</v>
      </c>
      <c r="B19" s="165" t="s">
        <v>103</v>
      </c>
      <c r="C19" s="167">
        <v>43111</v>
      </c>
      <c r="D19" s="165" t="s">
        <v>23</v>
      </c>
      <c r="E19" s="165"/>
      <c r="F19" s="165"/>
      <c r="G19" s="165" t="s">
        <v>332</v>
      </c>
      <c r="H19" s="165" t="s">
        <v>52</v>
      </c>
      <c r="I19" s="165" t="s">
        <v>52</v>
      </c>
      <c r="J19" s="165">
        <f t="shared" ca="1" si="0"/>
        <v>8</v>
      </c>
      <c r="K19" s="165">
        <f t="shared" ca="1" si="1"/>
        <v>1</v>
      </c>
      <c r="L19" s="168">
        <f t="shared" ca="1" si="2"/>
        <v>26</v>
      </c>
      <c r="M19" s="166">
        <v>95</v>
      </c>
      <c r="N19" s="165" t="s">
        <v>3</v>
      </c>
      <c r="O19" s="165" t="s">
        <v>28</v>
      </c>
      <c r="P19" s="165"/>
      <c r="Q19" s="227">
        <v>3</v>
      </c>
      <c r="R19" s="165"/>
    </row>
    <row r="20" spans="1:18" x14ac:dyDescent="0.25">
      <c r="A20" s="164" t="s">
        <v>34</v>
      </c>
      <c r="B20" s="165" t="str">
        <f>CONCATENATE("H DE  ",N20)</f>
        <v>H DE  La Negra</v>
      </c>
      <c r="C20" s="167">
        <v>43262</v>
      </c>
      <c r="D20" s="165" t="s">
        <v>24</v>
      </c>
      <c r="E20" s="165"/>
      <c r="F20" s="165"/>
      <c r="G20" s="165" t="s">
        <v>70</v>
      </c>
      <c r="H20" s="165" t="s">
        <v>70</v>
      </c>
      <c r="I20" s="165" t="s">
        <v>32</v>
      </c>
      <c r="J20" s="165">
        <f t="shared" ca="1" si="0"/>
        <v>7</v>
      </c>
      <c r="K20" s="165">
        <f t="shared" ca="1" si="1"/>
        <v>9</v>
      </c>
      <c r="L20" s="168">
        <f t="shared" ca="1" si="2"/>
        <v>0</v>
      </c>
      <c r="M20" s="166">
        <v>97</v>
      </c>
      <c r="N20" s="165" t="s">
        <v>4</v>
      </c>
      <c r="O20" s="165" t="s">
        <v>28</v>
      </c>
      <c r="P20" s="165"/>
      <c r="Q20" s="227"/>
      <c r="R20" s="165" t="s">
        <v>57</v>
      </c>
    </row>
    <row r="21" spans="1:18" x14ac:dyDescent="0.25">
      <c r="A21" s="164">
        <v>98</v>
      </c>
      <c r="B21" s="165" t="s">
        <v>5</v>
      </c>
      <c r="C21" s="167">
        <v>43273</v>
      </c>
      <c r="D21" s="165" t="s">
        <v>23</v>
      </c>
      <c r="E21" s="165"/>
      <c r="F21" s="165"/>
      <c r="G21" s="165" t="s">
        <v>332</v>
      </c>
      <c r="H21" s="165" t="s">
        <v>52</v>
      </c>
      <c r="I21" s="165" t="s">
        <v>52</v>
      </c>
      <c r="J21" s="165">
        <f t="shared" ca="1" si="0"/>
        <v>7</v>
      </c>
      <c r="K21" s="165"/>
      <c r="L21" s="168">
        <f t="shared" ca="1" si="2"/>
        <v>259</v>
      </c>
      <c r="M21" s="166"/>
      <c r="N21" s="165"/>
      <c r="O21" s="165"/>
      <c r="P21" s="165"/>
      <c r="Q21" s="227"/>
      <c r="R21" s="165" t="s">
        <v>50</v>
      </c>
    </row>
    <row r="22" spans="1:18" x14ac:dyDescent="0.25">
      <c r="A22" s="164" t="s">
        <v>424</v>
      </c>
      <c r="B22" s="165" t="s">
        <v>6</v>
      </c>
      <c r="C22" s="167">
        <v>43273</v>
      </c>
      <c r="D22" s="165" t="s">
        <v>23</v>
      </c>
      <c r="E22" s="165" t="s">
        <v>419</v>
      </c>
      <c r="F22" s="165"/>
      <c r="G22" s="165" t="s">
        <v>332</v>
      </c>
      <c r="H22" s="165" t="s">
        <v>314</v>
      </c>
      <c r="I22" s="165" t="s">
        <v>32</v>
      </c>
      <c r="J22" s="165">
        <f t="shared" ca="1" si="0"/>
        <v>7</v>
      </c>
      <c r="K22" s="165">
        <f t="shared" ref="K22:K53" ca="1" si="3">INT(((((TODAY()-C22)/365)-J22)*365)/30)</f>
        <v>8</v>
      </c>
      <c r="L22" s="168">
        <f t="shared" ca="1" si="2"/>
        <v>19</v>
      </c>
      <c r="M22" s="166"/>
      <c r="N22" s="165"/>
      <c r="O22" s="165"/>
      <c r="P22" s="165"/>
      <c r="Q22" s="227">
        <v>8</v>
      </c>
      <c r="R22" s="165" t="s">
        <v>425</v>
      </c>
    </row>
    <row r="23" spans="1:18" x14ac:dyDescent="0.25">
      <c r="A23" s="164" t="s">
        <v>304</v>
      </c>
      <c r="B23" s="165" t="s">
        <v>118</v>
      </c>
      <c r="C23" s="167">
        <v>43273</v>
      </c>
      <c r="D23" s="165" t="s">
        <v>23</v>
      </c>
      <c r="E23" s="165" t="s">
        <v>417</v>
      </c>
      <c r="F23" s="165" t="s">
        <v>717</v>
      </c>
      <c r="G23" s="165" t="s">
        <v>332</v>
      </c>
      <c r="H23" s="165" t="s">
        <v>101</v>
      </c>
      <c r="I23" s="165" t="s">
        <v>214</v>
      </c>
      <c r="J23" s="165">
        <f t="shared" ca="1" si="0"/>
        <v>7</v>
      </c>
      <c r="K23" s="165">
        <f t="shared" ca="1" si="3"/>
        <v>8</v>
      </c>
      <c r="L23" s="168">
        <f t="shared" ca="1" si="2"/>
        <v>19</v>
      </c>
      <c r="M23" s="164"/>
      <c r="N23" s="165"/>
      <c r="O23" s="165"/>
      <c r="P23" s="165"/>
      <c r="Q23" s="227">
        <v>8</v>
      </c>
      <c r="R23" s="165" t="s">
        <v>49</v>
      </c>
    </row>
    <row r="24" spans="1:18" x14ac:dyDescent="0.25">
      <c r="A24" s="164" t="s">
        <v>309</v>
      </c>
      <c r="B24" s="165" t="s">
        <v>4</v>
      </c>
      <c r="C24" s="167">
        <v>43273</v>
      </c>
      <c r="D24" s="165" t="s">
        <v>23</v>
      </c>
      <c r="E24" s="165" t="s">
        <v>417</v>
      </c>
      <c r="F24" s="165" t="s">
        <v>717</v>
      </c>
      <c r="G24" s="165" t="s">
        <v>332</v>
      </c>
      <c r="H24" s="165" t="s">
        <v>101</v>
      </c>
      <c r="I24" s="165" t="s">
        <v>214</v>
      </c>
      <c r="J24" s="165">
        <f t="shared" ca="1" si="0"/>
        <v>7</v>
      </c>
      <c r="K24" s="165">
        <f t="shared" ca="1" si="3"/>
        <v>8</v>
      </c>
      <c r="L24" s="168">
        <f t="shared" ca="1" si="2"/>
        <v>19</v>
      </c>
      <c r="M24" s="164"/>
      <c r="N24" s="165"/>
      <c r="O24" s="165"/>
      <c r="P24" s="165"/>
      <c r="Q24" s="227">
        <v>8</v>
      </c>
      <c r="R24" s="165" t="s">
        <v>49</v>
      </c>
    </row>
    <row r="25" spans="1:18" x14ac:dyDescent="0.25">
      <c r="A25" s="164" t="s">
        <v>378</v>
      </c>
      <c r="B25" s="165" t="s">
        <v>117</v>
      </c>
      <c r="C25" s="167">
        <v>43312</v>
      </c>
      <c r="D25" s="165" t="s">
        <v>23</v>
      </c>
      <c r="E25" s="165" t="s">
        <v>419</v>
      </c>
      <c r="F25" s="165" t="s">
        <v>717</v>
      </c>
      <c r="G25" s="165" t="s">
        <v>332</v>
      </c>
      <c r="H25" s="165" t="s">
        <v>101</v>
      </c>
      <c r="I25" s="165" t="s">
        <v>214</v>
      </c>
      <c r="J25" s="165">
        <f t="shared" ca="1" si="0"/>
        <v>7</v>
      </c>
      <c r="K25" s="165">
        <f t="shared" ca="1" si="3"/>
        <v>7</v>
      </c>
      <c r="L25" s="168">
        <f t="shared" ca="1" si="2"/>
        <v>9</v>
      </c>
      <c r="M25" s="164">
        <v>96</v>
      </c>
      <c r="N25" s="165" t="s">
        <v>2</v>
      </c>
      <c r="O25" s="165" t="s">
        <v>28</v>
      </c>
      <c r="P25" s="165"/>
      <c r="Q25" s="227">
        <v>9</v>
      </c>
      <c r="R25" s="165"/>
    </row>
    <row r="26" spans="1:18" ht="14.25" customHeight="1" x14ac:dyDescent="0.25">
      <c r="A26" s="164" t="s">
        <v>35</v>
      </c>
      <c r="B26" s="165" t="str">
        <f>CONCATENATE("H DE  ",N26)</f>
        <v>H DE  Cachito</v>
      </c>
      <c r="C26" s="167">
        <v>43573</v>
      </c>
      <c r="D26" s="165" t="s">
        <v>24</v>
      </c>
      <c r="E26" s="165"/>
      <c r="F26" s="165"/>
      <c r="G26" s="165" t="s">
        <v>70</v>
      </c>
      <c r="H26" s="165" t="s">
        <v>70</v>
      </c>
      <c r="I26" s="165" t="s">
        <v>32</v>
      </c>
      <c r="J26" s="165">
        <f t="shared" ca="1" si="0"/>
        <v>6</v>
      </c>
      <c r="K26" s="165">
        <f t="shared" ca="1" si="3"/>
        <v>10</v>
      </c>
      <c r="L26" s="168">
        <f t="shared" ca="1" si="2"/>
        <v>24</v>
      </c>
      <c r="M26" s="166">
        <v>98</v>
      </c>
      <c r="N26" s="165" t="s">
        <v>5</v>
      </c>
      <c r="O26" s="165" t="s">
        <v>28</v>
      </c>
      <c r="P26" s="165"/>
      <c r="Q26" s="227"/>
      <c r="R26" s="165" t="s">
        <v>57</v>
      </c>
    </row>
    <row r="27" spans="1:18" x14ac:dyDescent="0.25">
      <c r="A27" s="164" t="s">
        <v>37</v>
      </c>
      <c r="B27" s="165" t="str">
        <f>CONCATENATE("H DE  ",N27)</f>
        <v>H DE  Carapacho</v>
      </c>
      <c r="C27" s="167">
        <v>43576</v>
      </c>
      <c r="D27" s="165" t="s">
        <v>24</v>
      </c>
      <c r="E27" s="165"/>
      <c r="F27" s="165"/>
      <c r="G27" s="165" t="s">
        <v>70</v>
      </c>
      <c r="H27" s="165" t="s">
        <v>70</v>
      </c>
      <c r="I27" s="165" t="s">
        <v>32</v>
      </c>
      <c r="J27" s="165">
        <f t="shared" ca="1" si="0"/>
        <v>6</v>
      </c>
      <c r="K27" s="165">
        <f t="shared" ca="1" si="3"/>
        <v>10</v>
      </c>
      <c r="L27" s="168">
        <f t="shared" ca="1" si="2"/>
        <v>21</v>
      </c>
      <c r="M27" s="166">
        <v>99</v>
      </c>
      <c r="N27" s="165" t="s">
        <v>6</v>
      </c>
      <c r="O27" s="165" t="s">
        <v>28</v>
      </c>
      <c r="P27" s="165"/>
      <c r="Q27" s="227"/>
      <c r="R27" s="165" t="s">
        <v>36</v>
      </c>
    </row>
    <row r="28" spans="1:18" ht="14.25" customHeight="1" x14ac:dyDescent="0.25">
      <c r="A28" s="164" t="s">
        <v>111</v>
      </c>
      <c r="B28" s="165" t="s">
        <v>325</v>
      </c>
      <c r="C28" s="167">
        <v>43736</v>
      </c>
      <c r="D28" s="165" t="s">
        <v>23</v>
      </c>
      <c r="E28" s="165"/>
      <c r="F28" s="165"/>
      <c r="G28" s="165" t="s">
        <v>443</v>
      </c>
      <c r="H28" s="165" t="s">
        <v>52</v>
      </c>
      <c r="I28" s="165" t="s">
        <v>135</v>
      </c>
      <c r="J28" s="165">
        <f t="shared" ca="1" si="0"/>
        <v>6</v>
      </c>
      <c r="K28" s="165">
        <f t="shared" ca="1" si="3"/>
        <v>5</v>
      </c>
      <c r="L28" s="168">
        <f t="shared" ca="1" si="2"/>
        <v>11</v>
      </c>
      <c r="M28" s="166">
        <v>61544</v>
      </c>
      <c r="N28" s="165" t="s">
        <v>110</v>
      </c>
      <c r="O28" s="165" t="s">
        <v>42</v>
      </c>
      <c r="P28" s="165"/>
      <c r="Q28" s="227"/>
      <c r="R28" s="165" t="s">
        <v>136</v>
      </c>
    </row>
    <row r="29" spans="1:18" x14ac:dyDescent="0.25">
      <c r="A29" s="164" t="s">
        <v>112</v>
      </c>
      <c r="B29" s="165" t="s">
        <v>106</v>
      </c>
      <c r="C29" s="167">
        <v>43765</v>
      </c>
      <c r="D29" s="165" t="s">
        <v>23</v>
      </c>
      <c r="E29" s="165"/>
      <c r="F29" s="165"/>
      <c r="G29" s="165" t="s">
        <v>332</v>
      </c>
      <c r="H29" s="165" t="s">
        <v>52</v>
      </c>
      <c r="I29" s="165" t="s">
        <v>52</v>
      </c>
      <c r="J29" s="165">
        <f t="shared" ca="1" si="0"/>
        <v>6</v>
      </c>
      <c r="K29" s="165">
        <f t="shared" ca="1" si="3"/>
        <v>4</v>
      </c>
      <c r="L29" s="168">
        <f t="shared" ca="1" si="2"/>
        <v>11</v>
      </c>
      <c r="M29" s="166">
        <v>1605</v>
      </c>
      <c r="N29" s="165" t="s">
        <v>106</v>
      </c>
      <c r="O29" s="165" t="s">
        <v>42</v>
      </c>
      <c r="P29" s="165"/>
      <c r="Q29" s="227"/>
      <c r="R29" s="165" t="s">
        <v>137</v>
      </c>
    </row>
    <row r="30" spans="1:18" x14ac:dyDescent="0.25">
      <c r="A30" s="164" t="s">
        <v>38</v>
      </c>
      <c r="B30" s="165"/>
      <c r="C30" s="167">
        <v>43769</v>
      </c>
      <c r="D30" s="165" t="s">
        <v>24</v>
      </c>
      <c r="E30" s="165"/>
      <c r="F30" s="165"/>
      <c r="G30" s="165" t="s">
        <v>70</v>
      </c>
      <c r="H30" s="165" t="s">
        <v>52</v>
      </c>
      <c r="I30" s="165" t="s">
        <v>52</v>
      </c>
      <c r="J30" s="165">
        <f t="shared" ca="1" si="0"/>
        <v>6</v>
      </c>
      <c r="K30" s="165">
        <f t="shared" ca="1" si="3"/>
        <v>4</v>
      </c>
      <c r="L30" s="168">
        <f t="shared" ca="1" si="2"/>
        <v>8</v>
      </c>
      <c r="M30" s="166">
        <v>96</v>
      </c>
      <c r="N30" s="165" t="s">
        <v>2</v>
      </c>
      <c r="O30" s="165" t="s">
        <v>28</v>
      </c>
      <c r="P30" s="165"/>
      <c r="Q30" s="227"/>
      <c r="R30" s="165"/>
    </row>
    <row r="31" spans="1:18" x14ac:dyDescent="0.25">
      <c r="A31" s="164" t="s">
        <v>39</v>
      </c>
      <c r="B31" s="165"/>
      <c r="C31" s="167">
        <v>43780</v>
      </c>
      <c r="D31" s="165" t="s">
        <v>24</v>
      </c>
      <c r="E31" s="165"/>
      <c r="F31" s="165"/>
      <c r="G31" s="165" t="s">
        <v>70</v>
      </c>
      <c r="H31" s="165" t="s">
        <v>52</v>
      </c>
      <c r="I31" s="165" t="s">
        <v>52</v>
      </c>
      <c r="J31" s="165">
        <f t="shared" ca="1" si="0"/>
        <v>6</v>
      </c>
      <c r="K31" s="165">
        <f t="shared" ca="1" si="3"/>
        <v>3</v>
      </c>
      <c r="L31" s="168">
        <f t="shared" ca="1" si="2"/>
        <v>27</v>
      </c>
      <c r="M31" s="166">
        <v>97</v>
      </c>
      <c r="N31" s="165" t="s">
        <v>4</v>
      </c>
      <c r="O31" s="165" t="s">
        <v>28</v>
      </c>
      <c r="P31" s="165"/>
      <c r="Q31" s="227"/>
      <c r="R31" s="165"/>
    </row>
    <row r="32" spans="1:18" x14ac:dyDescent="0.25">
      <c r="A32" s="164" t="s">
        <v>56</v>
      </c>
      <c r="B32" s="165" t="str">
        <f>CONCATENATE("H DE  ",N32)</f>
        <v>H DE  Fundadora</v>
      </c>
      <c r="C32" s="167">
        <v>43795</v>
      </c>
      <c r="D32" s="165" t="s">
        <v>24</v>
      </c>
      <c r="E32" s="165"/>
      <c r="F32" s="165"/>
      <c r="G32" s="165" t="s">
        <v>70</v>
      </c>
      <c r="H32" s="165" t="s">
        <v>70</v>
      </c>
      <c r="I32" s="165" t="s">
        <v>32</v>
      </c>
      <c r="J32" s="165">
        <f t="shared" ca="1" si="0"/>
        <v>6</v>
      </c>
      <c r="K32" s="165">
        <f t="shared" ca="1" si="3"/>
        <v>3</v>
      </c>
      <c r="L32" s="168">
        <f t="shared" ca="1" si="2"/>
        <v>12</v>
      </c>
      <c r="M32" s="166">
        <v>95</v>
      </c>
      <c r="N32" s="165" t="s">
        <v>3</v>
      </c>
      <c r="O32" s="165" t="s">
        <v>28</v>
      </c>
      <c r="P32" s="165"/>
      <c r="Q32" s="227"/>
      <c r="R32" s="165" t="s">
        <v>57</v>
      </c>
    </row>
    <row r="33" spans="1:18" x14ac:dyDescent="0.25">
      <c r="A33" s="164" t="s">
        <v>113</v>
      </c>
      <c r="B33" s="165" t="s">
        <v>134</v>
      </c>
      <c r="C33" s="167">
        <v>43816</v>
      </c>
      <c r="D33" s="165" t="s">
        <v>23</v>
      </c>
      <c r="E33" s="165" t="s">
        <v>420</v>
      </c>
      <c r="F33" s="165" t="s">
        <v>717</v>
      </c>
      <c r="G33" s="165" t="s">
        <v>332</v>
      </c>
      <c r="H33" s="165" t="s">
        <v>101</v>
      </c>
      <c r="I33" s="165" t="s">
        <v>214</v>
      </c>
      <c r="J33" s="165">
        <f t="shared" ca="1" si="0"/>
        <v>6</v>
      </c>
      <c r="K33" s="165">
        <f t="shared" ca="1" si="3"/>
        <v>2</v>
      </c>
      <c r="L33" s="168">
        <f t="shared" ca="1" si="2"/>
        <v>21</v>
      </c>
      <c r="M33" s="164">
        <v>5244</v>
      </c>
      <c r="N33" s="165" t="s">
        <v>108</v>
      </c>
      <c r="O33" s="165" t="s">
        <v>42</v>
      </c>
      <c r="P33" s="165"/>
      <c r="Q33" s="227">
        <v>8</v>
      </c>
      <c r="R33" s="165" t="s">
        <v>95</v>
      </c>
    </row>
    <row r="34" spans="1:18" x14ac:dyDescent="0.25">
      <c r="A34" s="164" t="s">
        <v>114</v>
      </c>
      <c r="B34" s="165" t="s">
        <v>133</v>
      </c>
      <c r="C34" s="167">
        <v>43824</v>
      </c>
      <c r="D34" s="165" t="s">
        <v>23</v>
      </c>
      <c r="E34" s="165" t="s">
        <v>418</v>
      </c>
      <c r="F34" s="165"/>
      <c r="G34" s="165" t="s">
        <v>332</v>
      </c>
      <c r="H34" s="165" t="s">
        <v>101</v>
      </c>
      <c r="I34" s="165" t="s">
        <v>52</v>
      </c>
      <c r="J34" s="165">
        <f t="shared" ca="1" si="0"/>
        <v>6</v>
      </c>
      <c r="K34" s="165">
        <f t="shared" ca="1" si="3"/>
        <v>2</v>
      </c>
      <c r="L34" s="168">
        <f t="shared" ca="1" si="2"/>
        <v>13</v>
      </c>
      <c r="M34" s="164">
        <v>1650</v>
      </c>
      <c r="N34" s="165" t="s">
        <v>107</v>
      </c>
      <c r="O34" s="165" t="s">
        <v>42</v>
      </c>
      <c r="P34" s="165"/>
      <c r="Q34" s="227">
        <v>3</v>
      </c>
      <c r="R34" s="165" t="s">
        <v>613</v>
      </c>
    </row>
    <row r="35" spans="1:18" x14ac:dyDescent="0.25">
      <c r="A35" s="164" t="s">
        <v>115</v>
      </c>
      <c r="B35" s="165" t="s">
        <v>109</v>
      </c>
      <c r="C35" s="167">
        <v>43847</v>
      </c>
      <c r="D35" s="165" t="s">
        <v>23</v>
      </c>
      <c r="E35" s="165"/>
      <c r="F35" s="165"/>
      <c r="G35" s="165" t="s">
        <v>332</v>
      </c>
      <c r="H35" s="165" t="s">
        <v>52</v>
      </c>
      <c r="I35" s="165" t="s">
        <v>52</v>
      </c>
      <c r="J35" s="165">
        <f t="shared" ca="1" si="0"/>
        <v>6</v>
      </c>
      <c r="K35" s="165">
        <f t="shared" ca="1" si="3"/>
        <v>1</v>
      </c>
      <c r="L35" s="168">
        <f t="shared" ca="1" si="2"/>
        <v>19</v>
      </c>
      <c r="M35" s="166">
        <v>41127</v>
      </c>
      <c r="N35" s="165" t="s">
        <v>109</v>
      </c>
      <c r="O35" s="165" t="s">
        <v>42</v>
      </c>
      <c r="P35" s="165"/>
      <c r="Q35" s="227"/>
      <c r="R35" s="165" t="s">
        <v>138</v>
      </c>
    </row>
    <row r="36" spans="1:18" x14ac:dyDescent="0.25">
      <c r="A36" s="164" t="s">
        <v>455</v>
      </c>
      <c r="B36" s="165" t="s">
        <v>453</v>
      </c>
      <c r="C36" s="167">
        <v>44436</v>
      </c>
      <c r="D36" s="165" t="s">
        <v>24</v>
      </c>
      <c r="E36" s="173" t="s">
        <v>401</v>
      </c>
      <c r="F36" s="165" t="s">
        <v>717</v>
      </c>
      <c r="G36" s="165" t="s">
        <v>29</v>
      </c>
      <c r="H36" s="165" t="s">
        <v>25</v>
      </c>
      <c r="I36" s="165" t="s">
        <v>214</v>
      </c>
      <c r="J36" s="165">
        <f t="shared" ref="J36:J67" ca="1" si="4">INT((TODAY()-C36)/365)</f>
        <v>4</v>
      </c>
      <c r="K36" s="165">
        <f t="shared" ca="1" si="3"/>
        <v>6</v>
      </c>
      <c r="L36" s="168">
        <f ca="1">((((((TODAY()-C36)/365)-INT((TODAY()-C36)/365))*365)/30)-(K36))*30</f>
        <v>11.000000000000147</v>
      </c>
      <c r="M36" s="164"/>
      <c r="N36" s="165"/>
      <c r="O36" s="165"/>
      <c r="P36" s="165"/>
      <c r="Q36" s="227"/>
      <c r="R36" s="165"/>
    </row>
    <row r="37" spans="1:18" x14ac:dyDescent="0.25">
      <c r="A37" s="164" t="s">
        <v>456</v>
      </c>
      <c r="B37" s="165" t="s">
        <v>454</v>
      </c>
      <c r="C37" s="167">
        <v>44436</v>
      </c>
      <c r="D37" s="165" t="s">
        <v>24</v>
      </c>
      <c r="E37" s="173" t="s">
        <v>401</v>
      </c>
      <c r="F37" s="173"/>
      <c r="G37" s="165" t="s">
        <v>29</v>
      </c>
      <c r="H37" s="165" t="s">
        <v>25</v>
      </c>
      <c r="I37" s="165" t="s">
        <v>32</v>
      </c>
      <c r="J37" s="165">
        <f t="shared" ca="1" si="4"/>
        <v>4</v>
      </c>
      <c r="K37" s="165">
        <f t="shared" ca="1" si="3"/>
        <v>6</v>
      </c>
      <c r="L37" s="168">
        <f ca="1">((((((TODAY()-C37)/365)-INT((TODAY()-C37)/365))*365)/30)-(K37))*30</f>
        <v>11.000000000000147</v>
      </c>
      <c r="M37" s="164"/>
      <c r="N37" s="165"/>
      <c r="O37" s="165"/>
      <c r="P37" s="165"/>
      <c r="Q37" s="227"/>
      <c r="R37" s="165"/>
    </row>
    <row r="38" spans="1:18" x14ac:dyDescent="0.25">
      <c r="A38" s="164" t="s">
        <v>379</v>
      </c>
      <c r="B38" s="165" t="s">
        <v>127</v>
      </c>
      <c r="C38" s="167">
        <v>43926</v>
      </c>
      <c r="D38" s="165" t="s">
        <v>23</v>
      </c>
      <c r="E38" s="165" t="s">
        <v>419</v>
      </c>
      <c r="F38" s="165" t="s">
        <v>717</v>
      </c>
      <c r="G38" s="165" t="s">
        <v>332</v>
      </c>
      <c r="H38" s="165" t="s">
        <v>101</v>
      </c>
      <c r="I38" s="165" t="s">
        <v>214</v>
      </c>
      <c r="J38" s="165">
        <f t="shared" ca="1" si="4"/>
        <v>5</v>
      </c>
      <c r="K38" s="165">
        <f t="shared" ca="1" si="3"/>
        <v>11</v>
      </c>
      <c r="L38" s="168">
        <f t="shared" ref="L38:L43" ca="1" si="5">TRUNC(((((((TODAY()-C38)/365)-INT((TODAY()-C38)/365))*365)/30)-(K38))*30,0)</f>
        <v>5</v>
      </c>
      <c r="M38" s="164">
        <v>99</v>
      </c>
      <c r="N38" s="165" t="s">
        <v>6</v>
      </c>
      <c r="O38" s="165" t="s">
        <v>28</v>
      </c>
      <c r="P38" s="165"/>
      <c r="Q38" s="227"/>
      <c r="R38" s="165"/>
    </row>
    <row r="39" spans="1:18" x14ac:dyDescent="0.25">
      <c r="A39" s="164" t="s">
        <v>122</v>
      </c>
      <c r="B39" s="165" t="s">
        <v>126</v>
      </c>
      <c r="C39" s="167">
        <v>44407</v>
      </c>
      <c r="D39" s="165" t="s">
        <v>24</v>
      </c>
      <c r="E39" s="165"/>
      <c r="F39" s="165"/>
      <c r="G39" s="165" t="s">
        <v>70</v>
      </c>
      <c r="H39" s="165" t="s">
        <v>333</v>
      </c>
      <c r="I39" s="165" t="s">
        <v>52</v>
      </c>
      <c r="J39" s="165">
        <f t="shared" ca="1" si="4"/>
        <v>4</v>
      </c>
      <c r="K39" s="165">
        <f t="shared" ca="1" si="3"/>
        <v>7</v>
      </c>
      <c r="L39" s="168">
        <f t="shared" ca="1" si="5"/>
        <v>9</v>
      </c>
      <c r="M39" s="166">
        <v>18001</v>
      </c>
      <c r="N39" s="165" t="s">
        <v>103</v>
      </c>
      <c r="O39" s="165" t="s">
        <v>42</v>
      </c>
      <c r="P39" s="165"/>
      <c r="Q39" s="227"/>
      <c r="R39" s="165"/>
    </row>
    <row r="40" spans="1:18" x14ac:dyDescent="0.25">
      <c r="A40" s="164" t="s">
        <v>123</v>
      </c>
      <c r="B40" s="165" t="str">
        <f>CONCATENATE("H DE  ",N40)</f>
        <v>H DE  Esperanza</v>
      </c>
      <c r="C40" s="167">
        <v>44411</v>
      </c>
      <c r="D40" s="165" t="s">
        <v>24</v>
      </c>
      <c r="E40" s="165"/>
      <c r="F40" s="165"/>
      <c r="G40" s="165" t="s">
        <v>70</v>
      </c>
      <c r="H40" s="165" t="s">
        <v>70</v>
      </c>
      <c r="I40" s="165" t="s">
        <v>32</v>
      </c>
      <c r="J40" s="165">
        <f t="shared" ca="1" si="4"/>
        <v>4</v>
      </c>
      <c r="K40" s="165">
        <f t="shared" ca="1" si="3"/>
        <v>7</v>
      </c>
      <c r="L40" s="168">
        <f t="shared" ca="1" si="5"/>
        <v>6</v>
      </c>
      <c r="M40" s="166"/>
      <c r="N40" s="165" t="s">
        <v>117</v>
      </c>
      <c r="O40" s="165" t="s">
        <v>42</v>
      </c>
      <c r="P40" s="165"/>
      <c r="Q40" s="227"/>
      <c r="R40" s="165" t="s">
        <v>57</v>
      </c>
    </row>
    <row r="41" spans="1:18" x14ac:dyDescent="0.25">
      <c r="A41" s="164" t="s">
        <v>381</v>
      </c>
      <c r="B41" s="165" t="s">
        <v>345</v>
      </c>
      <c r="C41" s="167">
        <v>44416</v>
      </c>
      <c r="D41" s="165" t="s">
        <v>23</v>
      </c>
      <c r="E41" s="165"/>
      <c r="F41" s="165"/>
      <c r="G41" s="165" t="s">
        <v>102</v>
      </c>
      <c r="H41" s="165" t="s">
        <v>102</v>
      </c>
      <c r="I41" s="165" t="s">
        <v>52</v>
      </c>
      <c r="J41" s="165">
        <f t="shared" ca="1" si="4"/>
        <v>4</v>
      </c>
      <c r="K41" s="165">
        <f t="shared" ca="1" si="3"/>
        <v>7</v>
      </c>
      <c r="L41" s="168">
        <f t="shared" ca="1" si="5"/>
        <v>0</v>
      </c>
      <c r="M41" s="164">
        <v>97</v>
      </c>
      <c r="N41" s="165" t="s">
        <v>4</v>
      </c>
      <c r="O41" s="165" t="s">
        <v>42</v>
      </c>
      <c r="P41" s="165"/>
      <c r="Q41" s="227"/>
      <c r="R41" s="165" t="s">
        <v>480</v>
      </c>
    </row>
    <row r="42" spans="1:18" x14ac:dyDescent="0.25">
      <c r="A42" s="164" t="s">
        <v>124</v>
      </c>
      <c r="B42" s="165" t="str">
        <f>CONCATENATE("H DE  ",N42)</f>
        <v>H DE  Morena</v>
      </c>
      <c r="C42" s="167">
        <v>44418</v>
      </c>
      <c r="D42" s="165" t="s">
        <v>23</v>
      </c>
      <c r="E42" s="165"/>
      <c r="F42" s="165"/>
      <c r="G42" s="165" t="s">
        <v>70</v>
      </c>
      <c r="H42" s="165" t="s">
        <v>70</v>
      </c>
      <c r="I42" s="165" t="s">
        <v>57</v>
      </c>
      <c r="J42" s="165">
        <f t="shared" ca="1" si="4"/>
        <v>4</v>
      </c>
      <c r="K42" s="165">
        <f t="shared" ca="1" si="3"/>
        <v>6</v>
      </c>
      <c r="L42" s="168">
        <f t="shared" ca="1" si="5"/>
        <v>29</v>
      </c>
      <c r="M42" s="166"/>
      <c r="N42" s="165" t="s">
        <v>118</v>
      </c>
      <c r="O42" s="165" t="s">
        <v>42</v>
      </c>
      <c r="P42" s="165"/>
      <c r="Q42" s="227"/>
      <c r="R42" s="165" t="s">
        <v>57</v>
      </c>
    </row>
    <row r="43" spans="1:18" x14ac:dyDescent="0.25">
      <c r="A43" s="164" t="s">
        <v>380</v>
      </c>
      <c r="B43" s="165" t="s">
        <v>128</v>
      </c>
      <c r="C43" s="167">
        <v>44159</v>
      </c>
      <c r="D43" s="165" t="s">
        <v>23</v>
      </c>
      <c r="E43" s="165" t="s">
        <v>419</v>
      </c>
      <c r="F43" s="165" t="s">
        <v>717</v>
      </c>
      <c r="G43" s="165" t="s">
        <v>332</v>
      </c>
      <c r="H43" s="165" t="s">
        <v>101</v>
      </c>
      <c r="I43" s="165" t="s">
        <v>214</v>
      </c>
      <c r="J43" s="165">
        <f t="shared" ca="1" si="4"/>
        <v>5</v>
      </c>
      <c r="K43" s="165">
        <f t="shared" ca="1" si="3"/>
        <v>3</v>
      </c>
      <c r="L43" s="168">
        <f t="shared" ca="1" si="5"/>
        <v>12</v>
      </c>
      <c r="M43" s="164">
        <v>95</v>
      </c>
      <c r="N43" s="165" t="s">
        <v>3</v>
      </c>
      <c r="O43" s="165" t="s">
        <v>42</v>
      </c>
      <c r="P43" s="165"/>
      <c r="Q43" s="227"/>
      <c r="R43" s="165"/>
    </row>
    <row r="44" spans="1:18" x14ac:dyDescent="0.25">
      <c r="A44" s="164" t="s">
        <v>457</v>
      </c>
      <c r="B44" s="165" t="s">
        <v>712</v>
      </c>
      <c r="C44" s="167">
        <v>44159</v>
      </c>
      <c r="D44" s="165" t="s">
        <v>23</v>
      </c>
      <c r="E44" s="173" t="s">
        <v>419</v>
      </c>
      <c r="F44" s="165" t="s">
        <v>726</v>
      </c>
      <c r="G44" s="165" t="s">
        <v>332</v>
      </c>
      <c r="H44" s="165" t="s">
        <v>101</v>
      </c>
      <c r="I44" s="165" t="s">
        <v>214</v>
      </c>
      <c r="J44" s="165">
        <f t="shared" ca="1" si="4"/>
        <v>5</v>
      </c>
      <c r="K44" s="165">
        <f t="shared" ca="1" si="3"/>
        <v>3</v>
      </c>
      <c r="L44" s="168">
        <f ca="1">((((((TODAY()-C44)/365)-INT((TODAY()-C44)/365))*365)/30)-(K44))*30</f>
        <v>12.999999999999861</v>
      </c>
      <c r="M44" s="164"/>
      <c r="N44" s="165" t="s">
        <v>632</v>
      </c>
      <c r="O44" s="165"/>
      <c r="P44" s="165"/>
      <c r="Q44" s="227"/>
      <c r="R44" s="165"/>
    </row>
    <row r="45" spans="1:18" x14ac:dyDescent="0.25">
      <c r="A45" s="164" t="s">
        <v>125</v>
      </c>
      <c r="B45" s="165" t="s">
        <v>324</v>
      </c>
      <c r="C45" s="167">
        <v>44567</v>
      </c>
      <c r="D45" s="165" t="s">
        <v>24</v>
      </c>
      <c r="E45" s="165"/>
      <c r="F45" s="165"/>
      <c r="G45" s="165" t="s">
        <v>70</v>
      </c>
      <c r="H45" s="165" t="s">
        <v>52</v>
      </c>
      <c r="I45" s="165" t="s">
        <v>52</v>
      </c>
      <c r="J45" s="165">
        <f t="shared" ca="1" si="4"/>
        <v>4</v>
      </c>
      <c r="K45" s="165">
        <f t="shared" ca="1" si="3"/>
        <v>2</v>
      </c>
      <c r="L45" s="168">
        <f t="shared" ref="L45:L53" ca="1" si="6">TRUNC(((((((TODAY()-C45)/365)-INT((TODAY()-C45)/365))*365)/30)-(K45))*30,0)</f>
        <v>0</v>
      </c>
      <c r="M45" s="166">
        <v>99</v>
      </c>
      <c r="N45" s="165" t="s">
        <v>6</v>
      </c>
      <c r="O45" s="165" t="s">
        <v>42</v>
      </c>
      <c r="P45" s="165"/>
      <c r="Q45" s="227"/>
      <c r="R45" s="165"/>
    </row>
    <row r="46" spans="1:18" x14ac:dyDescent="0.25">
      <c r="A46" s="164" t="s">
        <v>382</v>
      </c>
      <c r="B46" s="165" t="s">
        <v>340</v>
      </c>
      <c r="C46" s="167">
        <v>44640</v>
      </c>
      <c r="D46" s="165" t="s">
        <v>23</v>
      </c>
      <c r="E46" s="165"/>
      <c r="F46" s="165"/>
      <c r="G46" s="165" t="s">
        <v>102</v>
      </c>
      <c r="H46" s="165" t="s">
        <v>102</v>
      </c>
      <c r="I46" s="165" t="s">
        <v>52</v>
      </c>
      <c r="J46" s="165">
        <f t="shared" ca="1" si="4"/>
        <v>3</v>
      </c>
      <c r="K46" s="165">
        <f t="shared" ca="1" si="3"/>
        <v>11</v>
      </c>
      <c r="L46" s="168">
        <f t="shared" ca="1" si="6"/>
        <v>22</v>
      </c>
      <c r="M46" s="164" t="s">
        <v>114</v>
      </c>
      <c r="N46" s="165" t="s">
        <v>130</v>
      </c>
      <c r="O46" s="165" t="s">
        <v>132</v>
      </c>
      <c r="P46" s="165"/>
      <c r="Q46" s="227"/>
      <c r="R46" s="165" t="s">
        <v>480</v>
      </c>
    </row>
    <row r="47" spans="1:18" x14ac:dyDescent="0.25">
      <c r="A47" s="164" t="s">
        <v>383</v>
      </c>
      <c r="B47" s="165" t="str">
        <f t="shared" ref="B47:B74" si="7">CONCATENATE("H DE  ",N47)</f>
        <v>H DE  Maria Jose</v>
      </c>
      <c r="C47" s="167">
        <v>44647</v>
      </c>
      <c r="D47" s="165" t="s">
        <v>23</v>
      </c>
      <c r="E47" s="165"/>
      <c r="F47" s="165"/>
      <c r="G47" s="165" t="s">
        <v>102</v>
      </c>
      <c r="H47" s="165" t="s">
        <v>102</v>
      </c>
      <c r="I47" s="165" t="s">
        <v>52</v>
      </c>
      <c r="J47" s="165">
        <f t="shared" ca="1" si="4"/>
        <v>3</v>
      </c>
      <c r="K47" s="165">
        <f t="shared" ca="1" si="3"/>
        <v>11</v>
      </c>
      <c r="L47" s="168">
        <f t="shared" ca="1" si="6"/>
        <v>14</v>
      </c>
      <c r="M47" s="164" t="s">
        <v>113</v>
      </c>
      <c r="N47" s="165" t="s">
        <v>134</v>
      </c>
      <c r="O47" s="165" t="s">
        <v>132</v>
      </c>
      <c r="P47" s="165"/>
      <c r="Q47" s="227"/>
      <c r="R47" s="165" t="s">
        <v>480</v>
      </c>
    </row>
    <row r="48" spans="1:18" x14ac:dyDescent="0.25">
      <c r="A48" s="164" t="s">
        <v>341</v>
      </c>
      <c r="B48" s="165" t="str">
        <f t="shared" si="7"/>
        <v>H DE  ESTRELLA</v>
      </c>
      <c r="C48" s="167">
        <v>44725</v>
      </c>
      <c r="D48" s="165" t="s">
        <v>23</v>
      </c>
      <c r="E48" s="165"/>
      <c r="F48" s="165"/>
      <c r="G48" s="165" t="s">
        <v>102</v>
      </c>
      <c r="H48" s="165" t="s">
        <v>102</v>
      </c>
      <c r="I48" s="165" t="s">
        <v>52</v>
      </c>
      <c r="J48" s="165">
        <f t="shared" ca="1" si="4"/>
        <v>3</v>
      </c>
      <c r="K48" s="165">
        <f t="shared" ca="1" si="3"/>
        <v>8</v>
      </c>
      <c r="L48" s="168">
        <f t="shared" ca="1" si="6"/>
        <v>27</v>
      </c>
      <c r="M48" s="164" t="s">
        <v>193</v>
      </c>
      <c r="N48" s="165" t="s">
        <v>206</v>
      </c>
      <c r="O48" s="165"/>
      <c r="P48" s="165">
        <v>72</v>
      </c>
      <c r="Q48" s="227"/>
      <c r="R48" s="165" t="s">
        <v>480</v>
      </c>
    </row>
    <row r="49" spans="1:18" x14ac:dyDescent="0.25">
      <c r="A49" s="164" t="s">
        <v>384</v>
      </c>
      <c r="B49" s="165" t="str">
        <f t="shared" si="7"/>
        <v>H DE  Morena</v>
      </c>
      <c r="C49" s="167">
        <v>44749</v>
      </c>
      <c r="D49" s="165" t="s">
        <v>23</v>
      </c>
      <c r="E49" s="165"/>
      <c r="F49" s="165"/>
      <c r="G49" s="165" t="s">
        <v>102</v>
      </c>
      <c r="H49" s="165" t="s">
        <v>102</v>
      </c>
      <c r="I49" s="165" t="s">
        <v>52</v>
      </c>
      <c r="J49" s="165">
        <f t="shared" ca="1" si="4"/>
        <v>3</v>
      </c>
      <c r="K49" s="165">
        <f t="shared" ca="1" si="3"/>
        <v>8</v>
      </c>
      <c r="L49" s="168">
        <f t="shared" ca="1" si="6"/>
        <v>2</v>
      </c>
      <c r="M49" s="164">
        <v>96</v>
      </c>
      <c r="N49" s="165" t="s">
        <v>118</v>
      </c>
      <c r="O49" s="165" t="s">
        <v>132</v>
      </c>
      <c r="P49" s="165"/>
      <c r="Q49" s="227"/>
      <c r="R49" s="165" t="s">
        <v>480</v>
      </c>
    </row>
    <row r="50" spans="1:18" x14ac:dyDescent="0.25">
      <c r="A50" s="164" t="s">
        <v>141</v>
      </c>
      <c r="B50" s="165" t="str">
        <f t="shared" si="7"/>
        <v>H DE  BLANQUITA</v>
      </c>
      <c r="C50" s="167">
        <v>44752</v>
      </c>
      <c r="D50" s="165" t="s">
        <v>24</v>
      </c>
      <c r="E50" s="165"/>
      <c r="F50" s="165"/>
      <c r="G50" s="165" t="s">
        <v>70</v>
      </c>
      <c r="H50" s="165" t="s">
        <v>52</v>
      </c>
      <c r="I50" s="165" t="s">
        <v>52</v>
      </c>
      <c r="J50" s="165">
        <f t="shared" ca="1" si="4"/>
        <v>3</v>
      </c>
      <c r="K50" s="165">
        <f t="shared" ca="1" si="3"/>
        <v>8</v>
      </c>
      <c r="L50" s="168">
        <f t="shared" ca="1" si="6"/>
        <v>0</v>
      </c>
      <c r="M50" s="166">
        <v>18001</v>
      </c>
      <c r="N50" s="165" t="s">
        <v>103</v>
      </c>
      <c r="O50" s="165" t="s">
        <v>132</v>
      </c>
      <c r="P50" s="165"/>
      <c r="Q50" s="227"/>
      <c r="R50" s="165"/>
    </row>
    <row r="51" spans="1:18" x14ac:dyDescent="0.25">
      <c r="A51" s="164" t="s">
        <v>211</v>
      </c>
      <c r="B51" s="165" t="str">
        <f t="shared" si="7"/>
        <v>H DE  TONCHA</v>
      </c>
      <c r="C51" s="167">
        <v>44784</v>
      </c>
      <c r="D51" s="165" t="s">
        <v>24</v>
      </c>
      <c r="E51" s="165"/>
      <c r="F51" s="165"/>
      <c r="G51" s="165" t="s">
        <v>70</v>
      </c>
      <c r="H51" s="165" t="s">
        <v>52</v>
      </c>
      <c r="I51" s="165" t="s">
        <v>52</v>
      </c>
      <c r="J51" s="165">
        <f t="shared" ca="1" si="4"/>
        <v>3</v>
      </c>
      <c r="K51" s="165">
        <f t="shared" ca="1" si="3"/>
        <v>6</v>
      </c>
      <c r="L51" s="168">
        <f t="shared" ca="1" si="6"/>
        <v>28</v>
      </c>
      <c r="M51" s="166" t="s">
        <v>189</v>
      </c>
      <c r="N51" s="165" t="s">
        <v>202</v>
      </c>
      <c r="O51" s="165"/>
      <c r="P51" s="165">
        <v>64</v>
      </c>
      <c r="Q51" s="227"/>
      <c r="R51" s="165"/>
    </row>
    <row r="52" spans="1:18" x14ac:dyDescent="0.25">
      <c r="A52" s="164" t="s">
        <v>342</v>
      </c>
      <c r="B52" s="165" t="str">
        <f t="shared" si="7"/>
        <v>H DE  OJOS NEGROS</v>
      </c>
      <c r="C52" s="167">
        <v>44789</v>
      </c>
      <c r="D52" s="165" t="s">
        <v>23</v>
      </c>
      <c r="E52" s="165"/>
      <c r="F52" s="165"/>
      <c r="G52" s="165" t="s">
        <v>102</v>
      </c>
      <c r="H52" s="165" t="s">
        <v>102</v>
      </c>
      <c r="I52" s="165" t="s">
        <v>52</v>
      </c>
      <c r="J52" s="165">
        <f t="shared" ca="1" si="4"/>
        <v>3</v>
      </c>
      <c r="K52" s="165">
        <f t="shared" ca="1" si="3"/>
        <v>6</v>
      </c>
      <c r="L52" s="168">
        <f t="shared" ca="1" si="6"/>
        <v>22</v>
      </c>
      <c r="M52" s="164" t="s">
        <v>191</v>
      </c>
      <c r="N52" s="165" t="s">
        <v>204</v>
      </c>
      <c r="O52" s="165"/>
      <c r="P52" s="165">
        <v>76</v>
      </c>
      <c r="Q52" s="227"/>
      <c r="R52" s="165" t="s">
        <v>480</v>
      </c>
    </row>
    <row r="53" spans="1:18" x14ac:dyDescent="0.25">
      <c r="A53" s="164" t="s">
        <v>141</v>
      </c>
      <c r="B53" s="165" t="str">
        <f t="shared" si="7"/>
        <v>H DE  La Negra</v>
      </c>
      <c r="C53" s="167">
        <v>44804</v>
      </c>
      <c r="D53" s="165" t="s">
        <v>24</v>
      </c>
      <c r="E53" s="165"/>
      <c r="F53" s="165"/>
      <c r="G53" s="165" t="s">
        <v>70</v>
      </c>
      <c r="H53" s="165" t="s">
        <v>70</v>
      </c>
      <c r="I53" s="165" t="s">
        <v>32</v>
      </c>
      <c r="J53" s="165">
        <f t="shared" ca="1" si="4"/>
        <v>3</v>
      </c>
      <c r="K53" s="165">
        <f t="shared" ca="1" si="3"/>
        <v>6</v>
      </c>
      <c r="L53" s="168">
        <f t="shared" ca="1" si="6"/>
        <v>8</v>
      </c>
      <c r="M53" s="166">
        <v>97</v>
      </c>
      <c r="N53" s="165" t="s">
        <v>4</v>
      </c>
      <c r="O53" s="165"/>
      <c r="P53" s="165"/>
      <c r="Q53" s="227"/>
      <c r="R53" s="165" t="s">
        <v>221</v>
      </c>
    </row>
    <row r="54" spans="1:18" x14ac:dyDescent="0.25">
      <c r="A54" s="164" t="s">
        <v>468</v>
      </c>
      <c r="B54" s="165" t="str">
        <f t="shared" si="7"/>
        <v>H DE  Esperanza</v>
      </c>
      <c r="C54" s="167">
        <v>44814</v>
      </c>
      <c r="D54" s="165" t="s">
        <v>24</v>
      </c>
      <c r="E54" s="165"/>
      <c r="F54" s="165"/>
      <c r="G54" s="165" t="s">
        <v>467</v>
      </c>
      <c r="H54" s="165" t="s">
        <v>467</v>
      </c>
      <c r="I54" s="165" t="s">
        <v>52</v>
      </c>
      <c r="J54" s="165">
        <f t="shared" ca="1" si="4"/>
        <v>3</v>
      </c>
      <c r="K54" s="165">
        <f t="shared" ref="K54:K85" ca="1" si="8">INT(((((TODAY()-C54)/365)-J54)*365)/30)</f>
        <v>5</v>
      </c>
      <c r="L54" s="168">
        <f ca="1">((((((TODAY()-C54)/365)-INT((TODAY()-C54)/365))*365)/30)-(K54))*30</f>
        <v>28.000000000000007</v>
      </c>
      <c r="M54" s="164">
        <v>18004</v>
      </c>
      <c r="N54" s="165" t="s">
        <v>117</v>
      </c>
      <c r="O54" s="165"/>
      <c r="P54" s="165">
        <v>20</v>
      </c>
      <c r="Q54" s="227"/>
      <c r="R54" s="165" t="s">
        <v>474</v>
      </c>
    </row>
    <row r="55" spans="1:18" x14ac:dyDescent="0.25">
      <c r="A55" s="164" t="s">
        <v>385</v>
      </c>
      <c r="B55" s="165" t="str">
        <f t="shared" si="7"/>
        <v>H DE  TRANCO LARGO</v>
      </c>
      <c r="C55" s="167">
        <v>44836</v>
      </c>
      <c r="D55" s="165" t="s">
        <v>24</v>
      </c>
      <c r="E55" s="165"/>
      <c r="F55" s="165"/>
      <c r="G55" s="165" t="s">
        <v>467</v>
      </c>
      <c r="H55" s="165" t="s">
        <v>467</v>
      </c>
      <c r="I55" s="165" t="s">
        <v>52</v>
      </c>
      <c r="J55" s="165">
        <f t="shared" ca="1" si="4"/>
        <v>3</v>
      </c>
      <c r="K55" s="165">
        <f t="shared" ca="1" si="8"/>
        <v>5</v>
      </c>
      <c r="L55" s="168">
        <f t="shared" ref="L55:L65" ca="1" si="9">TRUNC(((((((TODAY()-C55)/365)-INT((TODAY()-C55)/365))*365)/30)-(K55))*30,0)</f>
        <v>6</v>
      </c>
      <c r="M55" s="164" t="s">
        <v>196</v>
      </c>
      <c r="N55" s="165" t="s">
        <v>208</v>
      </c>
      <c r="O55" s="165" t="s">
        <v>63</v>
      </c>
      <c r="P55" s="165">
        <v>72</v>
      </c>
      <c r="Q55" s="227"/>
      <c r="R55" s="165"/>
    </row>
    <row r="56" spans="1:18" x14ac:dyDescent="0.25">
      <c r="A56" s="164" t="s">
        <v>343</v>
      </c>
      <c r="B56" s="165" t="str">
        <f t="shared" si="7"/>
        <v>H DE  VENAITA</v>
      </c>
      <c r="C56" s="167">
        <v>44858</v>
      </c>
      <c r="D56" s="165" t="s">
        <v>23</v>
      </c>
      <c r="E56" s="165"/>
      <c r="F56" s="165"/>
      <c r="G56" s="165" t="s">
        <v>102</v>
      </c>
      <c r="H56" s="165" t="s">
        <v>102</v>
      </c>
      <c r="I56" s="165" t="s">
        <v>52</v>
      </c>
      <c r="J56" s="165">
        <f t="shared" ca="1" si="4"/>
        <v>3</v>
      </c>
      <c r="K56" s="165">
        <f t="shared" ca="1" si="8"/>
        <v>4</v>
      </c>
      <c r="L56" s="168">
        <f t="shared" ca="1" si="9"/>
        <v>14</v>
      </c>
      <c r="M56" s="164" t="s">
        <v>195</v>
      </c>
      <c r="N56" s="165" t="s">
        <v>207</v>
      </c>
      <c r="O56" s="165"/>
      <c r="P56" s="165">
        <v>66</v>
      </c>
      <c r="Q56" s="227"/>
      <c r="R56" s="165" t="s">
        <v>480</v>
      </c>
    </row>
    <row r="57" spans="1:18" x14ac:dyDescent="0.25">
      <c r="A57" s="164" t="s">
        <v>344</v>
      </c>
      <c r="B57" s="165" t="str">
        <f t="shared" si="7"/>
        <v>H DE  PARDA</v>
      </c>
      <c r="C57" s="167">
        <v>44894</v>
      </c>
      <c r="D57" s="165" t="s">
        <v>23</v>
      </c>
      <c r="E57" s="165"/>
      <c r="F57" s="165"/>
      <c r="G57" s="165" t="s">
        <v>102</v>
      </c>
      <c r="H57" s="165" t="s">
        <v>102</v>
      </c>
      <c r="I57" s="165" t="s">
        <v>52</v>
      </c>
      <c r="J57" s="165">
        <f t="shared" ca="1" si="4"/>
        <v>3</v>
      </c>
      <c r="K57" s="165">
        <f t="shared" ca="1" si="8"/>
        <v>3</v>
      </c>
      <c r="L57" s="168">
        <f t="shared" ca="1" si="9"/>
        <v>8</v>
      </c>
      <c r="M57" s="164" t="s">
        <v>194</v>
      </c>
      <c r="N57" s="165" t="s">
        <v>209</v>
      </c>
      <c r="O57" s="165"/>
      <c r="P57" s="165">
        <v>88</v>
      </c>
      <c r="Q57" s="227"/>
      <c r="R57" s="165" t="s">
        <v>480</v>
      </c>
    </row>
    <row r="58" spans="1:18" ht="15.75" customHeight="1" x14ac:dyDescent="0.25">
      <c r="A58" s="164" t="s">
        <v>386</v>
      </c>
      <c r="B58" s="165" t="str">
        <f t="shared" si="7"/>
        <v>H DE  ORIANA</v>
      </c>
      <c r="C58" s="167">
        <v>44910</v>
      </c>
      <c r="D58" s="165" t="s">
        <v>24</v>
      </c>
      <c r="E58" s="165"/>
      <c r="F58" s="165"/>
      <c r="G58" s="165" t="s">
        <v>467</v>
      </c>
      <c r="H58" s="165" t="s">
        <v>467</v>
      </c>
      <c r="I58" s="165" t="s">
        <v>52</v>
      </c>
      <c r="J58" s="165">
        <f t="shared" ca="1" si="4"/>
        <v>3</v>
      </c>
      <c r="K58" s="165">
        <f t="shared" ca="1" si="8"/>
        <v>2</v>
      </c>
      <c r="L58" s="168">
        <f t="shared" ca="1" si="9"/>
        <v>22</v>
      </c>
      <c r="M58" s="164" t="s">
        <v>192</v>
      </c>
      <c r="N58" s="165" t="s">
        <v>205</v>
      </c>
      <c r="O58" s="165"/>
      <c r="P58" s="165">
        <v>44</v>
      </c>
      <c r="Q58" s="227"/>
      <c r="R58" s="165" t="s">
        <v>474</v>
      </c>
    </row>
    <row r="59" spans="1:18" ht="15.75" customHeight="1" x14ac:dyDescent="0.25">
      <c r="A59" s="164" t="s">
        <v>387</v>
      </c>
      <c r="B59" s="165" t="str">
        <f t="shared" si="7"/>
        <v>H DE  GACHA</v>
      </c>
      <c r="C59" s="167">
        <v>44944</v>
      </c>
      <c r="D59" s="165" t="s">
        <v>24</v>
      </c>
      <c r="E59" s="165"/>
      <c r="F59" s="165"/>
      <c r="G59" s="165" t="s">
        <v>467</v>
      </c>
      <c r="H59" s="165" t="s">
        <v>467</v>
      </c>
      <c r="I59" s="165" t="s">
        <v>52</v>
      </c>
      <c r="J59" s="165">
        <f t="shared" ca="1" si="4"/>
        <v>3</v>
      </c>
      <c r="K59" s="165">
        <f t="shared" ca="1" si="8"/>
        <v>1</v>
      </c>
      <c r="L59" s="168">
        <f t="shared" ca="1" si="9"/>
        <v>18</v>
      </c>
      <c r="M59" s="164">
        <v>15200</v>
      </c>
      <c r="N59" s="165" t="s">
        <v>201</v>
      </c>
      <c r="O59" s="165"/>
      <c r="P59" s="165">
        <v>46</v>
      </c>
      <c r="Q59" s="227"/>
      <c r="R59" s="165" t="s">
        <v>474</v>
      </c>
    </row>
    <row r="60" spans="1:18" ht="15.75" customHeight="1" x14ac:dyDescent="0.25">
      <c r="A60" s="164" t="s">
        <v>388</v>
      </c>
      <c r="B60" s="165" t="str">
        <f t="shared" si="7"/>
        <v>H DE  YEGUA</v>
      </c>
      <c r="C60" s="167">
        <v>44948</v>
      </c>
      <c r="D60" s="165" t="s">
        <v>24</v>
      </c>
      <c r="E60" s="165"/>
      <c r="F60" s="165"/>
      <c r="G60" s="165" t="s">
        <v>467</v>
      </c>
      <c r="H60" s="165" t="s">
        <v>467</v>
      </c>
      <c r="I60" s="165" t="s">
        <v>52</v>
      </c>
      <c r="J60" s="165">
        <f t="shared" ca="1" si="4"/>
        <v>3</v>
      </c>
      <c r="K60" s="165">
        <f t="shared" ca="1" si="8"/>
        <v>1</v>
      </c>
      <c r="L60" s="168">
        <f t="shared" ca="1" si="9"/>
        <v>14</v>
      </c>
      <c r="M60" s="164" t="s">
        <v>190</v>
      </c>
      <c r="N60" s="165" t="s">
        <v>210</v>
      </c>
      <c r="O60" s="165"/>
      <c r="P60" s="165">
        <v>37</v>
      </c>
      <c r="Q60" s="227"/>
      <c r="R60" s="165" t="s">
        <v>474</v>
      </c>
    </row>
    <row r="61" spans="1:18" ht="15.75" customHeight="1" x14ac:dyDescent="0.25">
      <c r="A61" s="164" t="s">
        <v>389</v>
      </c>
      <c r="B61" s="165" t="str">
        <f t="shared" si="7"/>
        <v>H DE  CONEJA</v>
      </c>
      <c r="C61" s="167">
        <v>44955</v>
      </c>
      <c r="D61" s="165" t="s">
        <v>24</v>
      </c>
      <c r="E61" s="165"/>
      <c r="F61" s="165"/>
      <c r="G61" s="165" t="s">
        <v>467</v>
      </c>
      <c r="H61" s="165" t="s">
        <v>467</v>
      </c>
      <c r="I61" s="165" t="s">
        <v>52</v>
      </c>
      <c r="J61" s="165">
        <f t="shared" ca="1" si="4"/>
        <v>3</v>
      </c>
      <c r="K61" s="165">
        <f t="shared" ca="1" si="8"/>
        <v>1</v>
      </c>
      <c r="L61" s="168">
        <f t="shared" ca="1" si="9"/>
        <v>7</v>
      </c>
      <c r="M61" s="164" t="s">
        <v>187</v>
      </c>
      <c r="N61" s="165" t="s">
        <v>200</v>
      </c>
      <c r="O61" s="165"/>
      <c r="P61" s="165">
        <v>40</v>
      </c>
      <c r="Q61" s="227"/>
      <c r="R61" s="165" t="s">
        <v>474</v>
      </c>
    </row>
    <row r="62" spans="1:18" ht="15.75" customHeight="1" x14ac:dyDescent="0.25">
      <c r="A62" s="164" t="s">
        <v>390</v>
      </c>
      <c r="B62" s="189" t="str">
        <f t="shared" si="7"/>
        <v>H DE  LUNA</v>
      </c>
      <c r="C62" s="169">
        <v>45006</v>
      </c>
      <c r="D62" s="170" t="s">
        <v>24</v>
      </c>
      <c r="E62" s="170"/>
      <c r="F62" s="170"/>
      <c r="G62" s="165" t="s">
        <v>70</v>
      </c>
      <c r="H62" s="165" t="s">
        <v>333</v>
      </c>
      <c r="I62" s="165" t="s">
        <v>52</v>
      </c>
      <c r="J62" s="165">
        <f t="shared" ca="1" si="4"/>
        <v>2</v>
      </c>
      <c r="K62" s="165">
        <f t="shared" ca="1" si="8"/>
        <v>11</v>
      </c>
      <c r="L62" s="168">
        <f t="shared" ca="1" si="9"/>
        <v>21</v>
      </c>
      <c r="M62" s="174">
        <v>5114</v>
      </c>
      <c r="N62" s="172" t="s">
        <v>198</v>
      </c>
      <c r="O62" s="165"/>
      <c r="P62" s="165"/>
      <c r="Q62" s="227"/>
      <c r="R62" s="165" t="s">
        <v>474</v>
      </c>
    </row>
    <row r="63" spans="1:18" ht="15.75" customHeight="1" x14ac:dyDescent="0.25">
      <c r="A63" s="164" t="s">
        <v>391</v>
      </c>
      <c r="B63" s="165" t="str">
        <f t="shared" si="7"/>
        <v>H DE  Comienzo</v>
      </c>
      <c r="C63" s="167">
        <v>45024</v>
      </c>
      <c r="D63" s="165" t="s">
        <v>24</v>
      </c>
      <c r="E63" s="165"/>
      <c r="F63" s="165"/>
      <c r="G63" s="165" t="s">
        <v>70</v>
      </c>
      <c r="H63" s="165" t="s">
        <v>52</v>
      </c>
      <c r="I63" s="165" t="s">
        <v>52</v>
      </c>
      <c r="J63" s="165">
        <f t="shared" ca="1" si="4"/>
        <v>2</v>
      </c>
      <c r="K63" s="165">
        <f t="shared" ca="1" si="8"/>
        <v>11</v>
      </c>
      <c r="L63" s="168">
        <f t="shared" ca="1" si="9"/>
        <v>2</v>
      </c>
      <c r="M63" s="171">
        <v>61544</v>
      </c>
      <c r="N63" s="172" t="s">
        <v>110</v>
      </c>
      <c r="O63" s="165"/>
      <c r="P63" s="165"/>
      <c r="Q63" s="227"/>
      <c r="R63" s="165"/>
    </row>
    <row r="64" spans="1:18" ht="15.75" customHeight="1" x14ac:dyDescent="0.25">
      <c r="A64" s="164" t="s">
        <v>393</v>
      </c>
      <c r="B64" s="189" t="str">
        <f t="shared" si="7"/>
        <v>H DE  Mariana</v>
      </c>
      <c r="C64" s="167">
        <v>45061</v>
      </c>
      <c r="D64" s="165" t="s">
        <v>23</v>
      </c>
      <c r="E64" s="165" t="s">
        <v>65</v>
      </c>
      <c r="F64" s="165" t="s">
        <v>717</v>
      </c>
      <c r="G64" s="165" t="s">
        <v>102</v>
      </c>
      <c r="H64" s="165" t="s">
        <v>102</v>
      </c>
      <c r="I64" s="165" t="s">
        <v>214</v>
      </c>
      <c r="J64" s="165">
        <f t="shared" ca="1" si="4"/>
        <v>2</v>
      </c>
      <c r="K64" s="165">
        <f t="shared" ca="1" si="8"/>
        <v>9</v>
      </c>
      <c r="L64" s="168">
        <f t="shared" ca="1" si="9"/>
        <v>26</v>
      </c>
      <c r="M64" s="174">
        <v>1650</v>
      </c>
      <c r="N64" s="172" t="s">
        <v>107</v>
      </c>
      <c r="O64" s="165" t="s">
        <v>65</v>
      </c>
      <c r="P64" s="165"/>
      <c r="Q64" s="227"/>
      <c r="R64" s="165"/>
    </row>
    <row r="65" spans="1:18" ht="15.75" customHeight="1" x14ac:dyDescent="0.25">
      <c r="A65" s="164" t="s">
        <v>394</v>
      </c>
      <c r="B65" s="189" t="str">
        <f t="shared" si="7"/>
        <v>H DE  Morena</v>
      </c>
      <c r="C65" s="167">
        <v>45120</v>
      </c>
      <c r="D65" s="165" t="s">
        <v>24</v>
      </c>
      <c r="E65" s="165"/>
      <c r="F65" s="165"/>
      <c r="G65" s="165" t="s">
        <v>70</v>
      </c>
      <c r="H65" s="165" t="s">
        <v>333</v>
      </c>
      <c r="I65" s="165" t="s">
        <v>52</v>
      </c>
      <c r="J65" s="165">
        <f t="shared" ca="1" si="4"/>
        <v>2</v>
      </c>
      <c r="K65" s="165">
        <f t="shared" ca="1" si="8"/>
        <v>7</v>
      </c>
      <c r="L65" s="168">
        <f t="shared" ca="1" si="9"/>
        <v>27</v>
      </c>
      <c r="M65" s="174">
        <v>96</v>
      </c>
      <c r="N65" s="172" t="s">
        <v>118</v>
      </c>
      <c r="O65" s="165" t="s">
        <v>65</v>
      </c>
      <c r="P65" s="165"/>
      <c r="Q65" s="227"/>
      <c r="R65" s="165" t="s">
        <v>622</v>
      </c>
    </row>
    <row r="66" spans="1:18" ht="15.75" customHeight="1" x14ac:dyDescent="0.25">
      <c r="A66" s="164" t="s">
        <v>445</v>
      </c>
      <c r="B66" s="189" t="str">
        <f t="shared" si="7"/>
        <v>H DE  Maria Jose</v>
      </c>
      <c r="C66" s="167">
        <v>45219</v>
      </c>
      <c r="D66" s="165" t="s">
        <v>24</v>
      </c>
      <c r="E66" s="173"/>
      <c r="F66" s="173"/>
      <c r="G66" s="165" t="s">
        <v>70</v>
      </c>
      <c r="H66" s="165" t="s">
        <v>333</v>
      </c>
      <c r="I66" s="165" t="s">
        <v>52</v>
      </c>
      <c r="J66" s="165">
        <f t="shared" ca="1" si="4"/>
        <v>2</v>
      </c>
      <c r="K66" s="165">
        <f t="shared" ca="1" si="8"/>
        <v>4</v>
      </c>
      <c r="L66" s="168">
        <f ca="1">((((((TODAY()-C66)/365)-INT((TODAY()-C66)/365))*365)/30)-(K66))*30</f>
        <v>17.999999999999989</v>
      </c>
      <c r="M66" s="164" t="s">
        <v>113</v>
      </c>
      <c r="N66" s="165" t="str">
        <f>VLOOKUP(Fichas[[#This Row],[Num/Madre]],Fichas[],2,FALSE)</f>
        <v>Maria Jose</v>
      </c>
      <c r="O66" s="165" t="s">
        <v>65</v>
      </c>
      <c r="P66" s="165">
        <v>40</v>
      </c>
      <c r="Q66" s="227"/>
      <c r="R66" s="165" t="s">
        <v>623</v>
      </c>
    </row>
    <row r="67" spans="1:18" ht="15.75" customHeight="1" x14ac:dyDescent="0.25">
      <c r="A67" s="164" t="s">
        <v>466</v>
      </c>
      <c r="B67" s="189" t="str">
        <f t="shared" si="7"/>
        <v>H DE  Esperanza</v>
      </c>
      <c r="C67" s="167">
        <v>45240</v>
      </c>
      <c r="D67" s="165" t="s">
        <v>24</v>
      </c>
      <c r="E67" s="173"/>
      <c r="F67" s="173"/>
      <c r="G67" s="165" t="s">
        <v>70</v>
      </c>
      <c r="H67" s="165" t="s">
        <v>333</v>
      </c>
      <c r="I67" s="165" t="s">
        <v>52</v>
      </c>
      <c r="J67" s="165">
        <f t="shared" ca="1" si="4"/>
        <v>2</v>
      </c>
      <c r="K67" s="165">
        <f t="shared" ca="1" si="8"/>
        <v>3</v>
      </c>
      <c r="L67" s="168">
        <f ca="1">((((((TODAY()-C67)/365)-INT((TODAY()-C67)/365))*365)/30)-(K67))*30</f>
        <v>27.000000000000036</v>
      </c>
      <c r="M67" s="164" t="s">
        <v>378</v>
      </c>
      <c r="N67" s="165" t="str">
        <f>VLOOKUP(Fichas[[#This Row],[Num/Madre]],Fichas[],2,FALSE)</f>
        <v>Esperanza</v>
      </c>
      <c r="O67" s="165" t="s">
        <v>65</v>
      </c>
      <c r="P67" s="165"/>
      <c r="Q67" s="227"/>
      <c r="R67" s="165" t="s">
        <v>624</v>
      </c>
    </row>
    <row r="68" spans="1:18" ht="15.75" customHeight="1" x14ac:dyDescent="0.25">
      <c r="A68" s="164" t="s">
        <v>396</v>
      </c>
      <c r="B68" s="189" t="str">
        <f t="shared" si="7"/>
        <v>H DE  Yolimar</v>
      </c>
      <c r="C68" s="167">
        <v>45145</v>
      </c>
      <c r="D68" s="165" t="s">
        <v>23</v>
      </c>
      <c r="E68" s="165"/>
      <c r="F68" s="165"/>
      <c r="G68" s="165" t="s">
        <v>70</v>
      </c>
      <c r="H68" s="165" t="s">
        <v>333</v>
      </c>
      <c r="I68" s="165" t="s">
        <v>32</v>
      </c>
      <c r="J68" s="165">
        <f t="shared" ref="J68:J99" ca="1" si="10">INT((TODAY()-C68)/365)</f>
        <v>2</v>
      </c>
      <c r="K68" s="165">
        <f t="shared" ca="1" si="8"/>
        <v>7</v>
      </c>
      <c r="L68" s="168">
        <f ca="1">TRUNC(((((((TODAY()-C68)/365)-INT((TODAY()-C68)/365))*365)/30)-(K68))*30,0)</f>
        <v>1</v>
      </c>
      <c r="M68" s="174" t="s">
        <v>114</v>
      </c>
      <c r="N68" s="172" t="s">
        <v>133</v>
      </c>
      <c r="O68" s="165"/>
      <c r="P68" s="165"/>
      <c r="Q68" s="227"/>
      <c r="R68" s="270" t="s">
        <v>499</v>
      </c>
    </row>
    <row r="69" spans="1:18" ht="15.75" customHeight="1" x14ac:dyDescent="0.25">
      <c r="A69" s="164" t="s">
        <v>392</v>
      </c>
      <c r="B69" s="189" t="str">
        <f t="shared" si="7"/>
        <v>H DE  Estrella</v>
      </c>
      <c r="C69" s="167">
        <v>45095</v>
      </c>
      <c r="D69" s="165" t="s">
        <v>23</v>
      </c>
      <c r="E69" s="165" t="s">
        <v>65</v>
      </c>
      <c r="F69" s="165" t="s">
        <v>717</v>
      </c>
      <c r="G69" s="165" t="s">
        <v>102</v>
      </c>
      <c r="H69" s="165" t="s">
        <v>102</v>
      </c>
      <c r="I69" s="165" t="s">
        <v>214</v>
      </c>
      <c r="J69" s="165">
        <f t="shared" ca="1" si="10"/>
        <v>2</v>
      </c>
      <c r="K69" s="165">
        <f t="shared" ca="1" si="8"/>
        <v>8</v>
      </c>
      <c r="L69" s="168">
        <f ca="1">TRUNC(((((((TODAY()-C69)/365)-INT((TODAY()-C69)/365))*365)/30)-(K69))*30,0)</f>
        <v>22</v>
      </c>
      <c r="M69" s="174">
        <v>6001</v>
      </c>
      <c r="N69" s="172" t="s">
        <v>316</v>
      </c>
      <c r="O69" s="165" t="s">
        <v>65</v>
      </c>
      <c r="P69" s="165"/>
      <c r="Q69" s="227"/>
      <c r="R69" s="165"/>
    </row>
    <row r="70" spans="1:18" ht="15.75" customHeight="1" x14ac:dyDescent="0.25">
      <c r="A70" s="164" t="s">
        <v>395</v>
      </c>
      <c r="B70" s="189" t="str">
        <f t="shared" si="7"/>
        <v>H DE  Toncha</v>
      </c>
      <c r="C70" s="167">
        <v>45126</v>
      </c>
      <c r="D70" s="165" t="s">
        <v>23</v>
      </c>
      <c r="E70" s="165" t="s">
        <v>65</v>
      </c>
      <c r="F70" s="165" t="s">
        <v>717</v>
      </c>
      <c r="G70" s="165" t="s">
        <v>102</v>
      </c>
      <c r="H70" s="165" t="s">
        <v>102</v>
      </c>
      <c r="I70" s="165" t="s">
        <v>214</v>
      </c>
      <c r="J70" s="165">
        <f t="shared" ca="1" si="10"/>
        <v>2</v>
      </c>
      <c r="K70" s="165">
        <f t="shared" ca="1" si="8"/>
        <v>7</v>
      </c>
      <c r="L70" s="168">
        <f ca="1">TRUNC(((((((TODAY()-C70)/365)-INT((TODAY()-C70)/365))*365)/30)-(K70))*30,0)</f>
        <v>21</v>
      </c>
      <c r="M70" s="174" t="s">
        <v>306</v>
      </c>
      <c r="N70" s="172" t="s">
        <v>317</v>
      </c>
      <c r="O70" s="165" t="s">
        <v>65</v>
      </c>
      <c r="P70" s="165"/>
      <c r="Q70" s="227"/>
      <c r="R70" s="165"/>
    </row>
    <row r="71" spans="1:18" ht="15" customHeight="1" x14ac:dyDescent="0.25">
      <c r="A71" s="164" t="s">
        <v>446</v>
      </c>
      <c r="B71" s="189" t="str">
        <f t="shared" si="7"/>
        <v>H DE  La Negra</v>
      </c>
      <c r="C71" s="167">
        <v>45220</v>
      </c>
      <c r="D71" s="165" t="s">
        <v>23</v>
      </c>
      <c r="E71" s="173" t="s">
        <v>65</v>
      </c>
      <c r="F71" s="173"/>
      <c r="G71" s="165" t="s">
        <v>70</v>
      </c>
      <c r="H71" s="165" t="s">
        <v>333</v>
      </c>
      <c r="I71" s="165" t="s">
        <v>32</v>
      </c>
      <c r="J71" s="165">
        <f t="shared" ca="1" si="10"/>
        <v>2</v>
      </c>
      <c r="K71" s="165">
        <f t="shared" ca="1" si="8"/>
        <v>4</v>
      </c>
      <c r="L71" s="168">
        <f t="shared" ref="L71:L112" ca="1" si="11">((((((TODAY()-C71)/365)-INT((TODAY()-C71)/365))*365)/30)-(K71))*30</f>
        <v>16.999999999999964</v>
      </c>
      <c r="M71" s="164" t="s">
        <v>309</v>
      </c>
      <c r="N71" s="165" t="str">
        <f>VLOOKUP(Fichas[[#This Row],[Num/Madre]],Fichas[],2,FALSE)</f>
        <v>La Negra</v>
      </c>
      <c r="O71" s="165" t="s">
        <v>65</v>
      </c>
      <c r="P71" s="165">
        <v>29</v>
      </c>
      <c r="Q71" s="227"/>
      <c r="R71" s="165"/>
    </row>
    <row r="72" spans="1:18" ht="15" customHeight="1" x14ac:dyDescent="0.25">
      <c r="A72" s="164" t="s">
        <v>465</v>
      </c>
      <c r="B72" s="189" t="str">
        <f t="shared" si="7"/>
        <v>H DE  TRANCO LARGO</v>
      </c>
      <c r="C72" s="167">
        <v>45237</v>
      </c>
      <c r="D72" s="165" t="s">
        <v>23</v>
      </c>
      <c r="E72" s="173" t="s">
        <v>65</v>
      </c>
      <c r="F72" s="165" t="s">
        <v>717</v>
      </c>
      <c r="G72" s="165" t="s">
        <v>102</v>
      </c>
      <c r="H72" s="165" t="s">
        <v>102</v>
      </c>
      <c r="I72" s="165" t="s">
        <v>214</v>
      </c>
      <c r="J72" s="165">
        <f t="shared" ca="1" si="10"/>
        <v>2</v>
      </c>
      <c r="K72" s="165">
        <f t="shared" ca="1" si="8"/>
        <v>4</v>
      </c>
      <c r="L72" s="168">
        <f t="shared" ca="1" si="11"/>
        <v>0</v>
      </c>
      <c r="M72" s="164" t="s">
        <v>196</v>
      </c>
      <c r="N72" s="165" t="str">
        <f>VLOOKUP(Fichas[[#This Row],[Num/Madre]],Fichas[],2,FALSE)</f>
        <v>TRANCO LARGO</v>
      </c>
      <c r="O72" s="165" t="s">
        <v>65</v>
      </c>
      <c r="P72" s="165"/>
      <c r="Q72" s="227"/>
      <c r="R72" s="165"/>
    </row>
    <row r="73" spans="1:18" ht="15" customHeight="1" x14ac:dyDescent="0.25">
      <c r="A73" s="164" t="s">
        <v>481</v>
      </c>
      <c r="B73" s="189" t="str">
        <f t="shared" si="7"/>
        <v>H DE  LA YEGUA</v>
      </c>
      <c r="C73" s="167">
        <v>45270</v>
      </c>
      <c r="D73" s="165" t="s">
        <v>23</v>
      </c>
      <c r="E73" s="173" t="s">
        <v>65</v>
      </c>
      <c r="F73" s="165" t="s">
        <v>717</v>
      </c>
      <c r="G73" s="165" t="s">
        <v>102</v>
      </c>
      <c r="H73" s="165" t="s">
        <v>102</v>
      </c>
      <c r="I73" s="165" t="s">
        <v>214</v>
      </c>
      <c r="J73" s="165">
        <f t="shared" ca="1" si="10"/>
        <v>2</v>
      </c>
      <c r="K73" s="165">
        <f t="shared" ca="1" si="8"/>
        <v>2</v>
      </c>
      <c r="L73" s="168">
        <f t="shared" ca="1" si="11"/>
        <v>26.999999999999929</v>
      </c>
      <c r="M73" s="164" t="s">
        <v>190</v>
      </c>
      <c r="N73" s="165" t="str">
        <f>VLOOKUP(Fichas[[#This Row],[Num/Madre]],Fichas[],2,FALSE)</f>
        <v>LA YEGUA</v>
      </c>
      <c r="O73" s="165" t="s">
        <v>65</v>
      </c>
      <c r="P73" s="165">
        <v>35</v>
      </c>
      <c r="Q73" s="227"/>
      <c r="R73" s="165"/>
    </row>
    <row r="74" spans="1:18" ht="15" customHeight="1" x14ac:dyDescent="0.25">
      <c r="A74" s="164" t="s">
        <v>498</v>
      </c>
      <c r="B74" s="189" t="str">
        <f t="shared" si="7"/>
        <v>H DE  VENAITA</v>
      </c>
      <c r="C74" s="167">
        <v>45284</v>
      </c>
      <c r="D74" s="165" t="s">
        <v>23</v>
      </c>
      <c r="E74" s="173" t="s">
        <v>65</v>
      </c>
      <c r="F74" s="165" t="s">
        <v>717</v>
      </c>
      <c r="G74" s="165" t="s">
        <v>102</v>
      </c>
      <c r="H74" s="165" t="s">
        <v>102</v>
      </c>
      <c r="I74" s="165" t="s">
        <v>214</v>
      </c>
      <c r="J74" s="165">
        <f t="shared" ca="1" si="10"/>
        <v>2</v>
      </c>
      <c r="K74" s="165">
        <f t="shared" ca="1" si="8"/>
        <v>2</v>
      </c>
      <c r="L74" s="168">
        <f t="shared" ca="1" si="11"/>
        <v>13.000000000000075</v>
      </c>
      <c r="M74" s="164" t="s">
        <v>195</v>
      </c>
      <c r="N74" s="165" t="str">
        <f>VLOOKUP(Fichas[[#This Row],[Num/Madre]],Fichas[],2,FALSE)</f>
        <v>VENAITA</v>
      </c>
      <c r="O74" s="165" t="s">
        <v>65</v>
      </c>
      <c r="P74" s="165">
        <v>35</v>
      </c>
      <c r="Q74" s="227"/>
      <c r="R74" s="165"/>
    </row>
    <row r="75" spans="1:18" ht="15" customHeight="1" x14ac:dyDescent="0.25">
      <c r="A75" s="164" t="s">
        <v>513</v>
      </c>
      <c r="B75" s="189" t="str">
        <f t="shared" ref="B75:B80" si="12">CONCATENATE("H DE  ",N75)</f>
        <v>H DE  OJOS NEGROS</v>
      </c>
      <c r="C75" s="167">
        <v>45303</v>
      </c>
      <c r="D75" s="165" t="s">
        <v>23</v>
      </c>
      <c r="E75" s="173" t="s">
        <v>65</v>
      </c>
      <c r="F75" s="165" t="s">
        <v>717</v>
      </c>
      <c r="G75" s="165" t="s">
        <v>102</v>
      </c>
      <c r="H75" s="165" t="s">
        <v>102</v>
      </c>
      <c r="I75" s="165" t="s">
        <v>214</v>
      </c>
      <c r="J75" s="165">
        <f t="shared" ca="1" si="10"/>
        <v>2</v>
      </c>
      <c r="K75" s="165">
        <f t="shared" ca="1" si="8"/>
        <v>1</v>
      </c>
      <c r="L75" s="168">
        <f t="shared" ca="1" si="11"/>
        <v>24.000000000000021</v>
      </c>
      <c r="M75" s="164" t="s">
        <v>191</v>
      </c>
      <c r="N75" s="165" t="str">
        <f>VLOOKUP(Fichas[[#This Row],[Num/Madre]],Fichas[],2,FALSE)</f>
        <v>OJOS NEGROS</v>
      </c>
      <c r="O75" s="165" t="s">
        <v>65</v>
      </c>
      <c r="P75" s="165">
        <v>35</v>
      </c>
      <c r="Q75" s="227"/>
      <c r="R75" s="165"/>
    </row>
    <row r="76" spans="1:18" ht="15" customHeight="1" x14ac:dyDescent="0.25">
      <c r="A76" s="164" t="s">
        <v>514</v>
      </c>
      <c r="B76" s="189" t="str">
        <f t="shared" si="12"/>
        <v>H DE  CONEJA</v>
      </c>
      <c r="C76" s="167">
        <v>45310</v>
      </c>
      <c r="D76" s="165" t="s">
        <v>24</v>
      </c>
      <c r="E76" s="173"/>
      <c r="F76" s="173"/>
      <c r="G76" s="165" t="s">
        <v>70</v>
      </c>
      <c r="H76" s="165" t="s">
        <v>333</v>
      </c>
      <c r="I76" s="165" t="s">
        <v>52</v>
      </c>
      <c r="J76" s="165">
        <f t="shared" ca="1" si="10"/>
        <v>2</v>
      </c>
      <c r="K76" s="165">
        <f t="shared" ca="1" si="8"/>
        <v>1</v>
      </c>
      <c r="L76" s="168">
        <f t="shared" ca="1" si="11"/>
        <v>16.999999999999925</v>
      </c>
      <c r="M76" s="164" t="s">
        <v>187</v>
      </c>
      <c r="N76" s="165" t="str">
        <f>VLOOKUP(Fichas[[#This Row],[Num/Madre]],Fichas[],2,FALSE)</f>
        <v>CONEJA</v>
      </c>
      <c r="O76" s="165" t="s">
        <v>65</v>
      </c>
      <c r="P76" s="165">
        <v>34</v>
      </c>
      <c r="Q76" s="227"/>
      <c r="R76" s="165" t="s">
        <v>625</v>
      </c>
    </row>
    <row r="77" spans="1:18" ht="15" customHeight="1" x14ac:dyDescent="0.25">
      <c r="A77" s="164" t="s">
        <v>534</v>
      </c>
      <c r="B77" s="189" t="str">
        <f t="shared" si="12"/>
        <v>H DE  PARDA</v>
      </c>
      <c r="C77" s="167">
        <v>45328</v>
      </c>
      <c r="D77" s="165" t="s">
        <v>23</v>
      </c>
      <c r="E77" s="173" t="s">
        <v>401</v>
      </c>
      <c r="F77" s="165" t="s">
        <v>717</v>
      </c>
      <c r="G77" s="165" t="s">
        <v>102</v>
      </c>
      <c r="H77" s="165" t="s">
        <v>102</v>
      </c>
      <c r="I77" s="165" t="s">
        <v>214</v>
      </c>
      <c r="J77" s="165">
        <f t="shared" ca="1" si="10"/>
        <v>2</v>
      </c>
      <c r="K77" s="165">
        <f t="shared" ca="1" si="8"/>
        <v>0</v>
      </c>
      <c r="L77" s="168">
        <f t="shared" ca="1" si="11"/>
        <v>28.999999999999922</v>
      </c>
      <c r="M77" s="164" t="s">
        <v>194</v>
      </c>
      <c r="N77" s="165" t="str">
        <f>VLOOKUP(Fichas[[#This Row],[Num/Madre]],Fichas[],2,FALSE)</f>
        <v>PARDA</v>
      </c>
      <c r="O77" s="165" t="s">
        <v>453</v>
      </c>
      <c r="P77" s="165">
        <v>31</v>
      </c>
      <c r="Q77" s="227"/>
      <c r="R77" s="165"/>
    </row>
    <row r="78" spans="1:18" ht="15" customHeight="1" x14ac:dyDescent="0.25">
      <c r="A78" s="164" t="s">
        <v>536</v>
      </c>
      <c r="B78" s="189" t="str">
        <f t="shared" si="12"/>
        <v>H DE  ORIANA</v>
      </c>
      <c r="C78" s="167">
        <v>45336</v>
      </c>
      <c r="D78" s="165" t="s">
        <v>23</v>
      </c>
      <c r="E78" s="173" t="s">
        <v>401</v>
      </c>
      <c r="F78" s="165" t="s">
        <v>717</v>
      </c>
      <c r="G78" s="165" t="s">
        <v>102</v>
      </c>
      <c r="H78" s="165" t="s">
        <v>102</v>
      </c>
      <c r="I78" s="165" t="s">
        <v>214</v>
      </c>
      <c r="J78" s="165">
        <f t="shared" ca="1" si="10"/>
        <v>2</v>
      </c>
      <c r="K78" s="165">
        <f t="shared" ca="1" si="8"/>
        <v>0</v>
      </c>
      <c r="L78" s="168">
        <f t="shared" ca="1" si="11"/>
        <v>20.999999999999954</v>
      </c>
      <c r="M78" s="164" t="s">
        <v>192</v>
      </c>
      <c r="N78" s="165" t="str">
        <f>VLOOKUP(Fichas[[#This Row],[Num/Madre]],Fichas[],2,FALSE)</f>
        <v>ORIANA</v>
      </c>
      <c r="O78" s="165" t="s">
        <v>453</v>
      </c>
      <c r="P78" s="165">
        <v>31</v>
      </c>
      <c r="Q78" s="227"/>
      <c r="R78" s="165"/>
    </row>
    <row r="79" spans="1:18" ht="15" customHeight="1" x14ac:dyDescent="0.25">
      <c r="A79" s="164" t="s">
        <v>571</v>
      </c>
      <c r="B79" s="189" t="str">
        <f t="shared" si="12"/>
        <v>H DE  Carapachita</v>
      </c>
      <c r="C79" s="167">
        <v>45348</v>
      </c>
      <c r="D79" s="165" t="s">
        <v>23</v>
      </c>
      <c r="E79" s="173"/>
      <c r="F79" s="173"/>
      <c r="G79" s="165" t="s">
        <v>70</v>
      </c>
      <c r="H79" s="165" t="s">
        <v>333</v>
      </c>
      <c r="I79" s="165" t="s">
        <v>32</v>
      </c>
      <c r="J79" s="165">
        <f t="shared" ca="1" si="10"/>
        <v>2</v>
      </c>
      <c r="K79" s="165">
        <f t="shared" ca="1" si="8"/>
        <v>0</v>
      </c>
      <c r="L79" s="168">
        <f t="shared" ca="1" si="11"/>
        <v>9.0000000000000036</v>
      </c>
      <c r="M79" s="164" t="s">
        <v>379</v>
      </c>
      <c r="N79" s="165" t="str">
        <f>VLOOKUP(Fichas[[#This Row],[Num/Madre]],Fichas[],2,FALSE)</f>
        <v>Carapachita</v>
      </c>
      <c r="O79" s="165"/>
      <c r="P79" s="165"/>
      <c r="Q79" s="227"/>
      <c r="R79" t="s">
        <v>570</v>
      </c>
    </row>
    <row r="80" spans="1:18" x14ac:dyDescent="0.25">
      <c r="A80" s="164" t="s">
        <v>590</v>
      </c>
      <c r="B80" s="189" t="str">
        <f t="shared" si="12"/>
        <v>H DE  Luna</v>
      </c>
      <c r="C80" s="167">
        <v>45362</v>
      </c>
      <c r="D80" s="165" t="s">
        <v>23</v>
      </c>
      <c r="E80" s="173" t="s">
        <v>401</v>
      </c>
      <c r="F80" s="165" t="s">
        <v>717</v>
      </c>
      <c r="G80" s="165" t="s">
        <v>102</v>
      </c>
      <c r="H80" s="165" t="s">
        <v>102</v>
      </c>
      <c r="I80" s="165" t="s">
        <v>214</v>
      </c>
      <c r="J80" s="165">
        <f t="shared" ca="1" si="10"/>
        <v>1</v>
      </c>
      <c r="K80" s="165">
        <f t="shared" ca="1" si="8"/>
        <v>12</v>
      </c>
      <c r="L80" s="168">
        <f t="shared" ca="1" si="11"/>
        <v>0</v>
      </c>
      <c r="M80" s="164" t="s">
        <v>185</v>
      </c>
      <c r="N80" s="165" t="s">
        <v>579</v>
      </c>
      <c r="O80" s="165" t="s">
        <v>453</v>
      </c>
      <c r="P80" s="165"/>
      <c r="Q80" s="227"/>
    </row>
    <row r="81" spans="1:18" x14ac:dyDescent="0.25">
      <c r="A81" s="164" t="s">
        <v>591</v>
      </c>
      <c r="B81" s="189" t="s">
        <v>596</v>
      </c>
      <c r="C81" s="167">
        <v>45484</v>
      </c>
      <c r="D81" s="165" t="s">
        <v>23</v>
      </c>
      <c r="E81" s="173" t="s">
        <v>401</v>
      </c>
      <c r="F81" s="165" t="s">
        <v>717</v>
      </c>
      <c r="G81" s="165" t="s">
        <v>711</v>
      </c>
      <c r="H81" s="165" t="s">
        <v>333</v>
      </c>
      <c r="I81" s="165" t="s">
        <v>214</v>
      </c>
      <c r="J81" s="165">
        <f t="shared" ca="1" si="10"/>
        <v>1</v>
      </c>
      <c r="K81" s="165">
        <f t="shared" ca="1" si="8"/>
        <v>7</v>
      </c>
      <c r="L81" s="168">
        <f t="shared" ca="1" si="11"/>
        <v>28.000000000000007</v>
      </c>
      <c r="M81" s="164" t="s">
        <v>380</v>
      </c>
      <c r="N81" s="165" t="s">
        <v>592</v>
      </c>
      <c r="O81" s="165" t="s">
        <v>453</v>
      </c>
      <c r="P81" s="165">
        <v>29</v>
      </c>
      <c r="Q81" s="227"/>
    </row>
    <row r="82" spans="1:18" x14ac:dyDescent="0.25">
      <c r="A82" s="164" t="s">
        <v>591</v>
      </c>
      <c r="B82" s="189" t="str">
        <f t="shared" ref="B82:B87" si="13">CONCATENATE("H DE  ",N82)</f>
        <v>H DE  Patanemo</v>
      </c>
      <c r="C82" s="167">
        <v>45549</v>
      </c>
      <c r="D82" s="165" t="s">
        <v>23</v>
      </c>
      <c r="E82" s="173" t="s">
        <v>401</v>
      </c>
      <c r="F82" s="165" t="s">
        <v>726</v>
      </c>
      <c r="G82" s="165" t="s">
        <v>711</v>
      </c>
      <c r="H82" s="165" t="s">
        <v>333</v>
      </c>
      <c r="I82" s="165" t="s">
        <v>214</v>
      </c>
      <c r="J82" s="165">
        <f t="shared" ca="1" si="10"/>
        <v>1</v>
      </c>
      <c r="K82" s="165">
        <f t="shared" ca="1" si="8"/>
        <v>5</v>
      </c>
      <c r="L82" s="168">
        <f t="shared" ca="1" si="11"/>
        <v>22.999999999999972</v>
      </c>
      <c r="M82" s="164" t="s">
        <v>457</v>
      </c>
      <c r="N82" s="165" t="s">
        <v>415</v>
      </c>
      <c r="O82" s="165" t="s">
        <v>453</v>
      </c>
      <c r="P82" s="165"/>
      <c r="Q82" s="227"/>
    </row>
    <row r="83" spans="1:18" x14ac:dyDescent="0.25">
      <c r="A83" s="164" t="s">
        <v>605</v>
      </c>
      <c r="B83" s="189" t="str">
        <f t="shared" si="13"/>
        <v>H DE  TRANCO LARGO</v>
      </c>
      <c r="C83" s="167">
        <v>45586</v>
      </c>
      <c r="D83" s="165" t="s">
        <v>23</v>
      </c>
      <c r="E83" s="173" t="s">
        <v>401</v>
      </c>
      <c r="F83" s="165" t="s">
        <v>717</v>
      </c>
      <c r="G83" s="165" t="s">
        <v>711</v>
      </c>
      <c r="H83" s="165" t="s">
        <v>333</v>
      </c>
      <c r="I83" s="165" t="s">
        <v>214</v>
      </c>
      <c r="J83" s="165">
        <f t="shared" ca="1" si="10"/>
        <v>1</v>
      </c>
      <c r="K83" s="165">
        <f t="shared" ca="1" si="8"/>
        <v>4</v>
      </c>
      <c r="L83" s="168">
        <f t="shared" ca="1" si="11"/>
        <v>15.999999999999996</v>
      </c>
      <c r="M83" s="164" t="s">
        <v>196</v>
      </c>
      <c r="N83" s="165" t="s">
        <v>208</v>
      </c>
      <c r="O83" s="165" t="s">
        <v>453</v>
      </c>
      <c r="P83" s="165">
        <v>46</v>
      </c>
      <c r="Q83" s="227"/>
    </row>
    <row r="84" spans="1:18" x14ac:dyDescent="0.25">
      <c r="A84" s="164" t="s">
        <v>609</v>
      </c>
      <c r="B84" s="189" t="str">
        <f t="shared" si="13"/>
        <v>H DE  Esperanza</v>
      </c>
      <c r="C84" s="167">
        <v>45596</v>
      </c>
      <c r="D84" s="165" t="s">
        <v>23</v>
      </c>
      <c r="E84" s="173" t="s">
        <v>401</v>
      </c>
      <c r="F84" s="165" t="s">
        <v>717</v>
      </c>
      <c r="G84" s="165" t="s">
        <v>711</v>
      </c>
      <c r="H84" s="165" t="s">
        <v>333</v>
      </c>
      <c r="I84" s="165" t="s">
        <v>214</v>
      </c>
      <c r="J84" s="165">
        <f t="shared" ca="1" si="10"/>
        <v>1</v>
      </c>
      <c r="K84" s="165">
        <f t="shared" ca="1" si="8"/>
        <v>4</v>
      </c>
      <c r="L84" s="168">
        <f t="shared" ca="1" si="11"/>
        <v>5.9999999999999787</v>
      </c>
      <c r="M84" s="164" t="s">
        <v>378</v>
      </c>
      <c r="N84" s="165" t="s">
        <v>117</v>
      </c>
      <c r="O84" s="165" t="s">
        <v>453</v>
      </c>
      <c r="P84" s="165">
        <v>32</v>
      </c>
      <c r="Q84" s="227"/>
    </row>
    <row r="85" spans="1:18" x14ac:dyDescent="0.25">
      <c r="A85" s="164" t="s">
        <v>612</v>
      </c>
      <c r="B85" s="189" t="str">
        <f t="shared" si="13"/>
        <v>H DE  Mariana</v>
      </c>
      <c r="C85" s="167">
        <v>45600</v>
      </c>
      <c r="D85" s="165" t="s">
        <v>23</v>
      </c>
      <c r="E85" s="173" t="s">
        <v>401</v>
      </c>
      <c r="F85" s="165" t="s">
        <v>717</v>
      </c>
      <c r="G85" s="165" t="s">
        <v>711</v>
      </c>
      <c r="H85" s="165" t="s">
        <v>333</v>
      </c>
      <c r="I85" s="165" t="s">
        <v>214</v>
      </c>
      <c r="J85" s="165">
        <f t="shared" ca="1" si="10"/>
        <v>1</v>
      </c>
      <c r="K85" s="165">
        <f t="shared" ca="1" si="8"/>
        <v>4</v>
      </c>
      <c r="L85" s="168">
        <f t="shared" ca="1" si="11"/>
        <v>1.9999999999999929</v>
      </c>
      <c r="M85" s="164" t="s">
        <v>184</v>
      </c>
      <c r="N85" s="165" t="s">
        <v>107</v>
      </c>
      <c r="O85" s="165" t="s">
        <v>453</v>
      </c>
      <c r="P85" s="165">
        <v>30</v>
      </c>
      <c r="Q85" s="227"/>
    </row>
    <row r="86" spans="1:18" x14ac:dyDescent="0.25">
      <c r="A86" s="164" t="s">
        <v>616</v>
      </c>
      <c r="B86" s="189" t="str">
        <f t="shared" si="13"/>
        <v>H DE  Parda</v>
      </c>
      <c r="C86" s="167">
        <v>45626</v>
      </c>
      <c r="D86" s="165" t="s">
        <v>23</v>
      </c>
      <c r="E86" s="173" t="s">
        <v>401</v>
      </c>
      <c r="F86" s="165" t="s">
        <v>717</v>
      </c>
      <c r="G86" s="165" t="s">
        <v>711</v>
      </c>
      <c r="H86" s="165" t="s">
        <v>333</v>
      </c>
      <c r="I86" s="165" t="s">
        <v>214</v>
      </c>
      <c r="J86" s="165">
        <f t="shared" ca="1" si="10"/>
        <v>1</v>
      </c>
      <c r="K86" s="165">
        <f t="shared" ref="K86:K112" ca="1" si="14">INT(((((TODAY()-C86)/365)-J86)*365)/30)</f>
        <v>3</v>
      </c>
      <c r="L86" s="168">
        <f t="shared" ca="1" si="11"/>
        <v>6.0000000000000187</v>
      </c>
      <c r="M86" s="164" t="s">
        <v>194</v>
      </c>
      <c r="N86" s="165" t="s">
        <v>619</v>
      </c>
      <c r="O86" s="165" t="s">
        <v>453</v>
      </c>
      <c r="P86" s="165">
        <v>22</v>
      </c>
      <c r="Q86" s="227"/>
    </row>
    <row r="87" spans="1:18" x14ac:dyDescent="0.25">
      <c r="A87" s="164" t="s">
        <v>617</v>
      </c>
      <c r="B87" s="189" t="str">
        <f t="shared" si="13"/>
        <v>H DE  Yegua</v>
      </c>
      <c r="C87" s="167">
        <v>45628</v>
      </c>
      <c r="D87" s="165" t="s">
        <v>23</v>
      </c>
      <c r="E87" s="173" t="s">
        <v>401</v>
      </c>
      <c r="F87" s="165" t="s">
        <v>717</v>
      </c>
      <c r="G87" s="165" t="s">
        <v>711</v>
      </c>
      <c r="H87" s="165" t="s">
        <v>333</v>
      </c>
      <c r="I87" s="165" t="s">
        <v>214</v>
      </c>
      <c r="J87" s="165">
        <f t="shared" ca="1" si="10"/>
        <v>1</v>
      </c>
      <c r="K87" s="165">
        <f t="shared" ca="1" si="14"/>
        <v>3</v>
      </c>
      <c r="L87" s="168">
        <f t="shared" ca="1" si="11"/>
        <v>4.0000000000000124</v>
      </c>
      <c r="M87" s="164" t="s">
        <v>190</v>
      </c>
      <c r="N87" s="165" t="s">
        <v>620</v>
      </c>
      <c r="O87" s="165" t="s">
        <v>453</v>
      </c>
      <c r="P87" s="165">
        <v>25</v>
      </c>
      <c r="Q87" s="227"/>
    </row>
    <row r="88" spans="1:18" x14ac:dyDescent="0.25">
      <c r="A88" s="164" t="s">
        <v>618</v>
      </c>
      <c r="B88" s="189" t="str">
        <f>CONCATENATE("H DE  ",N88)</f>
        <v>H DE  La Negra</v>
      </c>
      <c r="C88" s="167">
        <v>45638</v>
      </c>
      <c r="D88" s="165" t="s">
        <v>23</v>
      </c>
      <c r="E88" s="173" t="s">
        <v>401</v>
      </c>
      <c r="F88" s="173"/>
      <c r="G88" s="165" t="s">
        <v>70</v>
      </c>
      <c r="H88" s="165" t="s">
        <v>333</v>
      </c>
      <c r="I88" s="165" t="s">
        <v>32</v>
      </c>
      <c r="J88" s="165">
        <f t="shared" ca="1" si="10"/>
        <v>1</v>
      </c>
      <c r="K88" s="165">
        <f t="shared" ca="1" si="14"/>
        <v>2</v>
      </c>
      <c r="L88" s="168">
        <f t="shared" ca="1" si="11"/>
        <v>23.999999999999982</v>
      </c>
      <c r="M88" s="164" t="s">
        <v>309</v>
      </c>
      <c r="N88" s="165" t="s">
        <v>4</v>
      </c>
      <c r="O88" s="165" t="s">
        <v>453</v>
      </c>
      <c r="P88" s="165"/>
      <c r="Q88" s="227"/>
      <c r="R88" t="s">
        <v>633</v>
      </c>
    </row>
    <row r="89" spans="1:18" x14ac:dyDescent="0.25">
      <c r="A89" s="164" t="s">
        <v>628</v>
      </c>
      <c r="B89" s="189" t="str">
        <f>CONCATENATE("H DE  ",N89)</f>
        <v>H DE  Morena</v>
      </c>
      <c r="C89" s="167">
        <v>45649</v>
      </c>
      <c r="D89" s="165" t="s">
        <v>24</v>
      </c>
      <c r="E89" s="173" t="s">
        <v>401</v>
      </c>
      <c r="F89" s="173"/>
      <c r="G89" s="165" t="s">
        <v>70</v>
      </c>
      <c r="H89" s="165" t="s">
        <v>333</v>
      </c>
      <c r="I89" s="165" t="s">
        <v>32</v>
      </c>
      <c r="J89" s="165">
        <f t="shared" ca="1" si="10"/>
        <v>1</v>
      </c>
      <c r="K89" s="165">
        <f t="shared" ca="1" si="14"/>
        <v>2</v>
      </c>
      <c r="L89" s="168">
        <f t="shared" ca="1" si="11"/>
        <v>12.99999999999998</v>
      </c>
      <c r="M89" s="164" t="s">
        <v>304</v>
      </c>
      <c r="N89" s="165" t="s">
        <v>118</v>
      </c>
      <c r="O89" s="165" t="s">
        <v>453</v>
      </c>
      <c r="P89" s="165"/>
      <c r="Q89" s="227"/>
    </row>
    <row r="90" spans="1:18" x14ac:dyDescent="0.25">
      <c r="A90" s="164" t="s">
        <v>629</v>
      </c>
      <c r="B90" s="189" t="str">
        <f>CONCATENATE("H DE  ",N90)</f>
        <v>H DE  OJOS NEGROS</v>
      </c>
      <c r="C90" s="167">
        <v>45649</v>
      </c>
      <c r="D90" s="165" t="s">
        <v>24</v>
      </c>
      <c r="E90" s="173" t="s">
        <v>401</v>
      </c>
      <c r="F90" s="165" t="s">
        <v>717</v>
      </c>
      <c r="G90" s="165" t="s">
        <v>70</v>
      </c>
      <c r="H90" s="165" t="s">
        <v>333</v>
      </c>
      <c r="I90" s="165" t="s">
        <v>214</v>
      </c>
      <c r="J90" s="165">
        <f t="shared" ca="1" si="10"/>
        <v>1</v>
      </c>
      <c r="K90" s="165">
        <f t="shared" ca="1" si="14"/>
        <v>2</v>
      </c>
      <c r="L90" s="168">
        <f t="shared" ca="1" si="11"/>
        <v>12.99999999999998</v>
      </c>
      <c r="M90" s="164" t="s">
        <v>191</v>
      </c>
      <c r="N90" s="165" t="s">
        <v>204</v>
      </c>
      <c r="O90" s="165" t="s">
        <v>453</v>
      </c>
      <c r="P90" s="165"/>
      <c r="Q90" s="227"/>
    </row>
    <row r="91" spans="1:18" x14ac:dyDescent="0.25">
      <c r="A91" s="164" t="s">
        <v>642</v>
      </c>
      <c r="B91" s="189" t="s">
        <v>708</v>
      </c>
      <c r="C91" s="167">
        <v>45648</v>
      </c>
      <c r="D91" s="165" t="s">
        <v>23</v>
      </c>
      <c r="E91" s="173" t="s">
        <v>419</v>
      </c>
      <c r="F91" s="165" t="s">
        <v>717</v>
      </c>
      <c r="G91" s="165" t="s">
        <v>630</v>
      </c>
      <c r="H91" s="165" t="s">
        <v>69</v>
      </c>
      <c r="I91" s="165" t="s">
        <v>214</v>
      </c>
      <c r="J91" s="165">
        <f t="shared" ca="1" si="10"/>
        <v>1</v>
      </c>
      <c r="K91" s="165">
        <f t="shared" ca="1" si="14"/>
        <v>2</v>
      </c>
      <c r="L91" s="168">
        <f t="shared" ca="1" si="11"/>
        <v>14.000000000000018</v>
      </c>
      <c r="M91" s="164" t="s">
        <v>646</v>
      </c>
      <c r="N91" s="165" t="s">
        <v>631</v>
      </c>
      <c r="O91" s="165"/>
      <c r="P91" s="165"/>
      <c r="Q91" s="227"/>
      <c r="R91" t="s">
        <v>644</v>
      </c>
    </row>
    <row r="92" spans="1:18" x14ac:dyDescent="0.25">
      <c r="A92" s="164" t="s">
        <v>643</v>
      </c>
      <c r="B92" s="189" t="s">
        <v>713</v>
      </c>
      <c r="C92" s="167">
        <v>45648</v>
      </c>
      <c r="D92" s="165" t="s">
        <v>23</v>
      </c>
      <c r="E92" s="173" t="s">
        <v>419</v>
      </c>
      <c r="F92" s="165" t="s">
        <v>717</v>
      </c>
      <c r="G92" s="165" t="s">
        <v>332</v>
      </c>
      <c r="H92" s="165" t="s">
        <v>101</v>
      </c>
      <c r="I92" s="165" t="s">
        <v>214</v>
      </c>
      <c r="J92" s="165">
        <f t="shared" ca="1" si="10"/>
        <v>1</v>
      </c>
      <c r="K92" s="165">
        <f t="shared" ca="1" si="14"/>
        <v>2</v>
      </c>
      <c r="L92" s="168">
        <f t="shared" ca="1" si="11"/>
        <v>14.000000000000018</v>
      </c>
      <c r="M92" s="164" t="s">
        <v>646</v>
      </c>
      <c r="N92" s="165" t="s">
        <v>631</v>
      </c>
      <c r="O92" s="165"/>
      <c r="P92" s="165"/>
      <c r="Q92" s="227"/>
      <c r="R92" t="s">
        <v>631</v>
      </c>
    </row>
    <row r="93" spans="1:18" x14ac:dyDescent="0.25">
      <c r="A93" s="164" t="s">
        <v>635</v>
      </c>
      <c r="B93" s="189" t="str">
        <f>CONCATENATE("H DE  ",N93)</f>
        <v>H DE  Maria Jose</v>
      </c>
      <c r="C93" s="167">
        <v>45678</v>
      </c>
      <c r="D93" s="165" t="s">
        <v>24</v>
      </c>
      <c r="E93" s="173" t="s">
        <v>636</v>
      </c>
      <c r="F93" s="165" t="s">
        <v>717</v>
      </c>
      <c r="G93" s="165" t="s">
        <v>70</v>
      </c>
      <c r="H93" s="165" t="s">
        <v>333</v>
      </c>
      <c r="I93" s="165" t="s">
        <v>214</v>
      </c>
      <c r="J93" s="165">
        <f t="shared" ca="1" si="10"/>
        <v>1</v>
      </c>
      <c r="K93" s="165">
        <f t="shared" ca="1" si="14"/>
        <v>1</v>
      </c>
      <c r="L93" s="168">
        <f t="shared" ca="1" si="11"/>
        <v>13.999999999999977</v>
      </c>
      <c r="M93" s="164" t="s">
        <v>113</v>
      </c>
      <c r="N93" s="165" t="s">
        <v>134</v>
      </c>
      <c r="O93" s="165"/>
      <c r="P93" s="165"/>
      <c r="Q93" s="227"/>
    </row>
    <row r="94" spans="1:18" x14ac:dyDescent="0.25">
      <c r="A94" s="164" t="s">
        <v>638</v>
      </c>
      <c r="B94" s="189" t="str">
        <f>CONCATENATE("H DE  ",N94)</f>
        <v>H DE  Carapachita</v>
      </c>
      <c r="C94" s="167">
        <v>45684</v>
      </c>
      <c r="D94" s="165" t="s">
        <v>24</v>
      </c>
      <c r="E94" s="173" t="s">
        <v>636</v>
      </c>
      <c r="F94" s="165" t="s">
        <v>717</v>
      </c>
      <c r="G94" s="165" t="s">
        <v>70</v>
      </c>
      <c r="H94" s="165" t="s">
        <v>333</v>
      </c>
      <c r="I94" s="165" t="s">
        <v>214</v>
      </c>
      <c r="J94" s="165">
        <f t="shared" ca="1" si="10"/>
        <v>1</v>
      </c>
      <c r="K94" s="165">
        <f t="shared" ca="1" si="14"/>
        <v>1</v>
      </c>
      <c r="L94" s="168">
        <f t="shared" ca="1" si="11"/>
        <v>8.0000000000000053</v>
      </c>
      <c r="M94" s="164" t="s">
        <v>379</v>
      </c>
      <c r="N94" s="165" t="s">
        <v>127</v>
      </c>
      <c r="O94" s="165" t="s">
        <v>639</v>
      </c>
      <c r="P94" s="165"/>
      <c r="Q94" s="227"/>
    </row>
    <row r="95" spans="1:18" x14ac:dyDescent="0.25">
      <c r="A95" s="164" t="s">
        <v>649</v>
      </c>
      <c r="B95" s="189" t="str">
        <f>CONCATENATE("H DE  ",N95)</f>
        <v>H DE  Luna</v>
      </c>
      <c r="C95" s="167">
        <v>45740</v>
      </c>
      <c r="D95" s="165" t="s">
        <v>24</v>
      </c>
      <c r="E95" s="173" t="s">
        <v>636</v>
      </c>
      <c r="F95" s="165" t="s">
        <v>717</v>
      </c>
      <c r="G95" s="165" t="s">
        <v>70</v>
      </c>
      <c r="H95" s="165" t="s">
        <v>333</v>
      </c>
      <c r="I95" s="165" t="s">
        <v>214</v>
      </c>
      <c r="J95" s="165">
        <f t="shared" ca="1" si="10"/>
        <v>0</v>
      </c>
      <c r="K95" s="165">
        <f t="shared" ca="1" si="14"/>
        <v>11</v>
      </c>
      <c r="L95" s="168">
        <f t="shared" ca="1" si="11"/>
        <v>16.999999999999993</v>
      </c>
      <c r="M95" s="164" t="s">
        <v>185</v>
      </c>
      <c r="N95" s="165" t="s">
        <v>579</v>
      </c>
      <c r="O95" s="165" t="s">
        <v>639</v>
      </c>
      <c r="P95" s="165"/>
      <c r="Q95" s="227"/>
    </row>
    <row r="96" spans="1:18" x14ac:dyDescent="0.25">
      <c r="A96" s="164" t="s">
        <v>683</v>
      </c>
      <c r="B96" s="189" t="s">
        <v>702</v>
      </c>
      <c r="C96" s="167"/>
      <c r="D96" s="165" t="s">
        <v>23</v>
      </c>
      <c r="E96" s="173"/>
      <c r="F96" s="165" t="s">
        <v>718</v>
      </c>
      <c r="G96" s="165" t="s">
        <v>332</v>
      </c>
      <c r="H96" s="165" t="s">
        <v>101</v>
      </c>
      <c r="I96" s="165" t="s">
        <v>214</v>
      </c>
      <c r="J96" s="165">
        <f t="shared" ca="1" si="10"/>
        <v>126</v>
      </c>
      <c r="K96" s="165">
        <f t="shared" ca="1" si="14"/>
        <v>3</v>
      </c>
      <c r="L96" s="168">
        <f t="shared" ca="1" si="11"/>
        <v>6.9999999999993223</v>
      </c>
      <c r="M96" s="164"/>
      <c r="N96" s="165"/>
      <c r="O96" s="165"/>
      <c r="P96" s="165"/>
      <c r="Q96" s="227"/>
    </row>
    <row r="97" spans="1:17" x14ac:dyDescent="0.25">
      <c r="A97" s="164" t="s">
        <v>671</v>
      </c>
      <c r="B97" s="189" t="s">
        <v>703</v>
      </c>
      <c r="C97" s="167"/>
      <c r="D97" s="165" t="s">
        <v>23</v>
      </c>
      <c r="E97" s="173"/>
      <c r="F97" s="165" t="s">
        <v>718</v>
      </c>
      <c r="G97" s="165" t="s">
        <v>332</v>
      </c>
      <c r="H97" s="165" t="s">
        <v>101</v>
      </c>
      <c r="I97" s="165" t="s">
        <v>214</v>
      </c>
      <c r="J97" s="165">
        <f t="shared" ca="1" si="10"/>
        <v>126</v>
      </c>
      <c r="K97" s="165">
        <f t="shared" ca="1" si="14"/>
        <v>3</v>
      </c>
      <c r="L97" s="168">
        <f t="shared" ca="1" si="11"/>
        <v>6.9999999999993223</v>
      </c>
      <c r="M97" s="164"/>
      <c r="N97" s="165"/>
      <c r="O97" s="165"/>
      <c r="P97" s="165"/>
      <c r="Q97" s="227"/>
    </row>
    <row r="98" spans="1:17" x14ac:dyDescent="0.25">
      <c r="A98" s="164" t="s">
        <v>670</v>
      </c>
      <c r="B98" s="189" t="s">
        <v>704</v>
      </c>
      <c r="C98" s="167"/>
      <c r="D98" s="165" t="s">
        <v>23</v>
      </c>
      <c r="E98" s="173"/>
      <c r="F98" s="165" t="s">
        <v>718</v>
      </c>
      <c r="G98" s="165" t="s">
        <v>443</v>
      </c>
      <c r="H98" s="165" t="s">
        <v>101</v>
      </c>
      <c r="I98" s="165" t="s">
        <v>214</v>
      </c>
      <c r="J98" s="165">
        <f t="shared" ca="1" si="10"/>
        <v>126</v>
      </c>
      <c r="K98" s="165">
        <f t="shared" ca="1" si="14"/>
        <v>3</v>
      </c>
      <c r="L98" s="168">
        <f t="shared" ca="1" si="11"/>
        <v>6.9999999999993223</v>
      </c>
      <c r="M98" s="164"/>
      <c r="N98" s="165"/>
      <c r="O98" s="165"/>
      <c r="P98" s="165"/>
      <c r="Q98" s="227"/>
    </row>
    <row r="99" spans="1:17" x14ac:dyDescent="0.25">
      <c r="A99" s="164" t="s">
        <v>673</v>
      </c>
      <c r="B99" s="189" t="s">
        <v>705</v>
      </c>
      <c r="C99" s="167"/>
      <c r="D99" s="165" t="s">
        <v>23</v>
      </c>
      <c r="E99" s="173"/>
      <c r="F99" s="165" t="s">
        <v>718</v>
      </c>
      <c r="G99" s="165" t="s">
        <v>332</v>
      </c>
      <c r="H99" s="165" t="s">
        <v>101</v>
      </c>
      <c r="I99" s="165" t="s">
        <v>214</v>
      </c>
      <c r="J99" s="165">
        <f t="shared" ca="1" si="10"/>
        <v>126</v>
      </c>
      <c r="K99" s="165">
        <f t="shared" ca="1" si="14"/>
        <v>3</v>
      </c>
      <c r="L99" s="168">
        <f t="shared" ca="1" si="11"/>
        <v>6.9999999999993223</v>
      </c>
      <c r="M99" s="164"/>
      <c r="N99" s="165"/>
      <c r="O99" s="165"/>
      <c r="P99" s="165"/>
      <c r="Q99" s="227"/>
    </row>
    <row r="100" spans="1:17" x14ac:dyDescent="0.25">
      <c r="A100" s="164" t="s">
        <v>689</v>
      </c>
      <c r="B100" s="189" t="s">
        <v>706</v>
      </c>
      <c r="C100" s="167"/>
      <c r="D100" s="165" t="s">
        <v>23</v>
      </c>
      <c r="E100" s="173"/>
      <c r="F100" s="165" t="s">
        <v>718</v>
      </c>
      <c r="G100" s="165" t="s">
        <v>332</v>
      </c>
      <c r="H100" s="165" t="s">
        <v>101</v>
      </c>
      <c r="I100" s="165" t="s">
        <v>214</v>
      </c>
      <c r="J100" s="165">
        <f t="shared" ref="J100:J112" ca="1" si="15">INT((TODAY()-C100)/365)</f>
        <v>126</v>
      </c>
      <c r="K100" s="165">
        <f t="shared" ca="1" si="14"/>
        <v>3</v>
      </c>
      <c r="L100" s="168">
        <f t="shared" ca="1" si="11"/>
        <v>6.9999999999993223</v>
      </c>
      <c r="M100" s="164"/>
      <c r="N100" s="165"/>
      <c r="O100" s="165"/>
      <c r="P100" s="165"/>
      <c r="Q100" s="227"/>
    </row>
    <row r="101" spans="1:17" x14ac:dyDescent="0.25">
      <c r="A101" s="164" t="s">
        <v>690</v>
      </c>
      <c r="B101" s="189" t="s">
        <v>707</v>
      </c>
      <c r="C101" s="167"/>
      <c r="D101" s="165" t="s">
        <v>23</v>
      </c>
      <c r="E101" s="173"/>
      <c r="F101" s="165" t="s">
        <v>718</v>
      </c>
      <c r="G101" s="165" t="s">
        <v>332</v>
      </c>
      <c r="H101" s="165" t="s">
        <v>101</v>
      </c>
      <c r="I101" s="165" t="s">
        <v>214</v>
      </c>
      <c r="J101" s="165">
        <f t="shared" ca="1" si="15"/>
        <v>126</v>
      </c>
      <c r="K101" s="165">
        <f t="shared" ca="1" si="14"/>
        <v>3</v>
      </c>
      <c r="L101" s="168">
        <f t="shared" ca="1" si="11"/>
        <v>6.9999999999993223</v>
      </c>
      <c r="M101" s="164"/>
      <c r="N101" s="165"/>
      <c r="O101" s="165"/>
      <c r="P101" s="165"/>
      <c r="Q101" s="227"/>
    </row>
    <row r="102" spans="1:17" x14ac:dyDescent="0.25">
      <c r="A102" s="164" t="s">
        <v>730</v>
      </c>
      <c r="B102" s="189" t="s">
        <v>731</v>
      </c>
      <c r="C102" s="167"/>
      <c r="D102" s="165" t="s">
        <v>23</v>
      </c>
      <c r="E102" s="173"/>
      <c r="F102" s="165" t="s">
        <v>718</v>
      </c>
      <c r="G102" s="165" t="s">
        <v>332</v>
      </c>
      <c r="H102" s="165" t="s">
        <v>101</v>
      </c>
      <c r="I102" s="165" t="s">
        <v>214</v>
      </c>
      <c r="J102" s="165">
        <f ca="1">INT((TODAY()-C102)/365)</f>
        <v>126</v>
      </c>
      <c r="K102" s="165">
        <f ca="1">INT(((((TODAY()-C102)/365)-J102)*365)/30)</f>
        <v>3</v>
      </c>
      <c r="L102" s="168">
        <f ca="1">((((((TODAY()-C102)/365)-INT((TODAY()-C102)/365))*365)/30)-(K102))*30</f>
        <v>6.9999999999993223</v>
      </c>
      <c r="M102" s="164"/>
      <c r="N102" s="165"/>
      <c r="O102" s="165"/>
      <c r="P102" s="165"/>
      <c r="Q102" s="227"/>
    </row>
    <row r="103" spans="1:17" x14ac:dyDescent="0.25">
      <c r="A103" s="164" t="s">
        <v>736</v>
      </c>
      <c r="B103" s="189" t="s">
        <v>749</v>
      </c>
      <c r="C103" s="167"/>
      <c r="D103" s="165" t="s">
        <v>23</v>
      </c>
      <c r="E103" s="173"/>
      <c r="F103" s="165" t="s">
        <v>718</v>
      </c>
      <c r="G103" s="165" t="s">
        <v>332</v>
      </c>
      <c r="H103" s="165" t="s">
        <v>101</v>
      </c>
      <c r="I103" s="165" t="s">
        <v>214</v>
      </c>
      <c r="J103" s="165">
        <f ca="1">INT((TODAY()-C103)/365)</f>
        <v>126</v>
      </c>
      <c r="K103" s="165">
        <f ca="1">INT(((((TODAY()-C103)/365)-J103)*365)/30)</f>
        <v>3</v>
      </c>
      <c r="L103" s="168">
        <f ca="1">((((((TODAY()-C103)/365)-INT((TODAY()-C103)/365))*365)/30)-(K103))*30</f>
        <v>6.9999999999993223</v>
      </c>
      <c r="M103" s="164"/>
      <c r="N103" s="165"/>
      <c r="O103" s="165"/>
      <c r="P103" s="165"/>
      <c r="Q103" s="227"/>
    </row>
    <row r="104" spans="1:17" x14ac:dyDescent="0.25">
      <c r="A104" s="164" t="s">
        <v>747</v>
      </c>
      <c r="B104" s="189" t="s">
        <v>748</v>
      </c>
      <c r="C104" s="167"/>
      <c r="D104" s="165" t="s">
        <v>23</v>
      </c>
      <c r="E104" s="173"/>
      <c r="F104" s="165" t="s">
        <v>718</v>
      </c>
      <c r="G104" s="165" t="s">
        <v>332</v>
      </c>
      <c r="H104" s="165" t="s">
        <v>101</v>
      </c>
      <c r="I104" s="165" t="s">
        <v>214</v>
      </c>
      <c r="J104" s="165">
        <f ca="1">INT((TODAY()-C104)/365)</f>
        <v>126</v>
      </c>
      <c r="K104" s="165">
        <f ca="1">INT(((((TODAY()-C104)/365)-J104)*365)/30)</f>
        <v>3</v>
      </c>
      <c r="L104" s="168">
        <f ca="1">((((((TODAY()-C104)/365)-INT((TODAY()-C104)/365))*365)/30)-(K104))*30</f>
        <v>6.9999999999993223</v>
      </c>
      <c r="M104" s="164"/>
      <c r="N104" s="165"/>
      <c r="O104" s="165"/>
      <c r="P104" s="165"/>
      <c r="Q104" s="227"/>
    </row>
    <row r="105" spans="1:17" x14ac:dyDescent="0.25">
      <c r="A105" s="164" t="s">
        <v>695</v>
      </c>
      <c r="B105" s="189" t="str">
        <f t="shared" ref="B105:B112" si="16">CONCATENATE("H DE  ",N105)</f>
        <v>H DE  Adriana Barreto</v>
      </c>
      <c r="C105" s="167">
        <v>45667</v>
      </c>
      <c r="D105" s="165" t="s">
        <v>24</v>
      </c>
      <c r="E105" s="173"/>
      <c r="F105" s="165" t="s">
        <v>718</v>
      </c>
      <c r="G105" s="165" t="s">
        <v>70</v>
      </c>
      <c r="H105" s="165" t="s">
        <v>333</v>
      </c>
      <c r="I105" s="165" t="s">
        <v>214</v>
      </c>
      <c r="J105" s="165">
        <f t="shared" ca="1" si="15"/>
        <v>1</v>
      </c>
      <c r="K105" s="165">
        <f t="shared" ca="1" si="14"/>
        <v>1</v>
      </c>
      <c r="L105" s="168">
        <f t="shared" ca="1" si="11"/>
        <v>24.999999999999979</v>
      </c>
      <c r="M105" s="1" t="s">
        <v>683</v>
      </c>
      <c r="N105" t="str">
        <f>VLOOKUP(Fichas[[#This Row],[Num/Madre]],Fichas[[#Headers],[#Data]],2,FALSE)</f>
        <v>Adriana Barreto</v>
      </c>
      <c r="O105" s="165"/>
      <c r="P105" s="165"/>
      <c r="Q105" s="227"/>
    </row>
    <row r="106" spans="1:17" x14ac:dyDescent="0.25">
      <c r="A106" s="164" t="s">
        <v>696</v>
      </c>
      <c r="B106" s="189" t="str">
        <f t="shared" si="16"/>
        <v>H DE  Paola Barreto</v>
      </c>
      <c r="C106" s="167">
        <v>45750</v>
      </c>
      <c r="D106" s="165" t="s">
        <v>24</v>
      </c>
      <c r="E106" s="173"/>
      <c r="F106" s="165" t="s">
        <v>718</v>
      </c>
      <c r="G106" s="165" t="s">
        <v>70</v>
      </c>
      <c r="H106" s="165" t="s">
        <v>333</v>
      </c>
      <c r="I106" s="165" t="s">
        <v>214</v>
      </c>
      <c r="J106" s="165">
        <f t="shared" ca="1" si="15"/>
        <v>0</v>
      </c>
      <c r="K106" s="165">
        <f t="shared" ca="1" si="14"/>
        <v>11</v>
      </c>
      <c r="L106" s="168">
        <f t="shared" ca="1" si="11"/>
        <v>6.9999999999999751</v>
      </c>
      <c r="M106" s="1" t="s">
        <v>671</v>
      </c>
      <c r="N106" t="str">
        <f>VLOOKUP(Fichas[[#This Row],[Num/Madre]],Fichas[[#Headers],[#Data]],2,FALSE)</f>
        <v>Paola Barreto</v>
      </c>
      <c r="O106" s="165"/>
      <c r="P106" s="165"/>
      <c r="Q106" s="227"/>
    </row>
    <row r="107" spans="1:17" x14ac:dyDescent="0.25">
      <c r="A107" s="164" t="s">
        <v>697</v>
      </c>
      <c r="B107" s="189" t="str">
        <f t="shared" si="16"/>
        <v>H DE  Angelica Barreto</v>
      </c>
      <c r="C107" s="167">
        <v>45758</v>
      </c>
      <c r="D107" s="165" t="s">
        <v>23</v>
      </c>
      <c r="E107" s="173"/>
      <c r="F107" s="165" t="s">
        <v>718</v>
      </c>
      <c r="G107" s="165" t="s">
        <v>70</v>
      </c>
      <c r="H107" s="165" t="s">
        <v>333</v>
      </c>
      <c r="I107" s="165" t="s">
        <v>214</v>
      </c>
      <c r="J107" s="165">
        <f t="shared" ca="1" si="15"/>
        <v>0</v>
      </c>
      <c r="K107" s="165">
        <f t="shared" ca="1" si="14"/>
        <v>10</v>
      </c>
      <c r="L107" s="168">
        <f t="shared" ca="1" si="11"/>
        <v>29.000000000000004</v>
      </c>
      <c r="M107" s="1" t="s">
        <v>670</v>
      </c>
      <c r="N107" t="str">
        <f>VLOOKUP(Fichas[[#This Row],[Num/Madre]],Fichas[[#Headers],[#Data]],2,FALSE)</f>
        <v>Angelica Barreto</v>
      </c>
      <c r="O107" s="165"/>
      <c r="P107" s="165"/>
      <c r="Q107" s="227"/>
    </row>
    <row r="108" spans="1:17" x14ac:dyDescent="0.25">
      <c r="A108" s="164" t="s">
        <v>698</v>
      </c>
      <c r="B108" s="189" t="str">
        <f t="shared" si="16"/>
        <v>H DE  PEINETA Barreto</v>
      </c>
      <c r="C108" s="167">
        <v>45775</v>
      </c>
      <c r="D108" s="165" t="s">
        <v>23</v>
      </c>
      <c r="E108" s="173"/>
      <c r="F108" s="165" t="s">
        <v>718</v>
      </c>
      <c r="G108" s="165" t="s">
        <v>70</v>
      </c>
      <c r="H108" s="165" t="s">
        <v>333</v>
      </c>
      <c r="I108" s="165" t="s">
        <v>214</v>
      </c>
      <c r="J108" s="165">
        <f t="shared" ca="1" si="15"/>
        <v>0</v>
      </c>
      <c r="K108" s="165">
        <f t="shared" ca="1" si="14"/>
        <v>10</v>
      </c>
      <c r="L108" s="168">
        <f t="shared" ca="1" si="11"/>
        <v>12.000000000000011</v>
      </c>
      <c r="M108" s="1" t="s">
        <v>673</v>
      </c>
      <c r="N108" t="str">
        <f>VLOOKUP(Fichas[[#This Row],[Num/Madre]],Fichas[[#Headers],[#Data]],2,FALSE)</f>
        <v>PEINETA Barreto</v>
      </c>
      <c r="O108" s="165"/>
      <c r="P108" s="165"/>
      <c r="Q108" s="227"/>
    </row>
    <row r="109" spans="1:17" x14ac:dyDescent="0.25">
      <c r="A109" s="164" t="s">
        <v>699</v>
      </c>
      <c r="B109" s="189" t="str">
        <f t="shared" si="16"/>
        <v>H DE  Blanquita2</v>
      </c>
      <c r="C109" s="167">
        <v>45841</v>
      </c>
      <c r="D109" s="165" t="s">
        <v>23</v>
      </c>
      <c r="E109" s="173" t="s">
        <v>636</v>
      </c>
      <c r="F109" s="165" t="s">
        <v>717</v>
      </c>
      <c r="G109" s="165" t="s">
        <v>70</v>
      </c>
      <c r="H109" s="165" t="s">
        <v>333</v>
      </c>
      <c r="I109" s="165" t="s">
        <v>214</v>
      </c>
      <c r="J109" s="165">
        <f t="shared" ca="1" si="15"/>
        <v>0</v>
      </c>
      <c r="K109" s="165">
        <f t="shared" ca="1" si="14"/>
        <v>8</v>
      </c>
      <c r="L109" s="168">
        <f t="shared" ca="1" si="11"/>
        <v>5.9999999999999787</v>
      </c>
      <c r="M109" s="1" t="s">
        <v>380</v>
      </c>
      <c r="N109" t="str">
        <f>VLOOKUP(Fichas[[#This Row],[Num/Madre]],Fichas[[#Headers],[#Data]],2,FALSE)</f>
        <v>Blanquita2</v>
      </c>
      <c r="O109" s="165"/>
      <c r="P109" s="165"/>
      <c r="Q109" s="227"/>
    </row>
    <row r="110" spans="1:17" x14ac:dyDescent="0.25">
      <c r="A110" s="164" t="s">
        <v>700</v>
      </c>
      <c r="B110" s="189" t="str">
        <f t="shared" si="16"/>
        <v>H DE  Totumita Barreto</v>
      </c>
      <c r="C110" s="167">
        <v>45850</v>
      </c>
      <c r="D110" s="165" t="s">
        <v>24</v>
      </c>
      <c r="E110" s="173"/>
      <c r="F110" s="165" t="s">
        <v>718</v>
      </c>
      <c r="G110" s="165" t="s">
        <v>70</v>
      </c>
      <c r="H110" s="165" t="s">
        <v>333</v>
      </c>
      <c r="I110" s="165" t="s">
        <v>32</v>
      </c>
      <c r="J110" s="165">
        <f t="shared" ca="1" si="15"/>
        <v>0</v>
      </c>
      <c r="K110" s="165">
        <f t="shared" ca="1" si="14"/>
        <v>7</v>
      </c>
      <c r="L110" s="168">
        <f t="shared" ca="1" si="11"/>
        <v>27.000000000000011</v>
      </c>
      <c r="M110" s="1" t="s">
        <v>689</v>
      </c>
      <c r="N110" t="str">
        <f>VLOOKUP(Fichas[[#This Row],[Num/Madre]],Fichas[[#Headers],[#Data]],2,FALSE)</f>
        <v>Totumita Barreto</v>
      </c>
      <c r="O110" s="165"/>
      <c r="P110" s="165"/>
      <c r="Q110" s="227"/>
    </row>
    <row r="111" spans="1:17" x14ac:dyDescent="0.25">
      <c r="A111" s="164" t="s">
        <v>701</v>
      </c>
      <c r="B111" s="189" t="str">
        <f t="shared" si="16"/>
        <v>H DE  Chocolate Barreto</v>
      </c>
      <c r="C111" s="167">
        <v>45853</v>
      </c>
      <c r="D111" s="165" t="s">
        <v>24</v>
      </c>
      <c r="E111" s="173"/>
      <c r="F111" s="165" t="s">
        <v>718</v>
      </c>
      <c r="G111" s="165" t="s">
        <v>70</v>
      </c>
      <c r="H111" s="165" t="s">
        <v>333</v>
      </c>
      <c r="I111" s="165" t="s">
        <v>214</v>
      </c>
      <c r="J111" s="165">
        <f t="shared" ca="1" si="15"/>
        <v>0</v>
      </c>
      <c r="K111" s="165">
        <f t="shared" ca="1" si="14"/>
        <v>7</v>
      </c>
      <c r="L111" s="168">
        <f t="shared" ca="1" si="11"/>
        <v>23.999999999999993</v>
      </c>
      <c r="M111" s="1" t="s">
        <v>690</v>
      </c>
      <c r="N111" t="str">
        <f>VLOOKUP(Fichas[[#This Row],[Num/Madre]],Fichas[[#Headers],[#Data]],2,FALSE)</f>
        <v>Chocolate Barreto</v>
      </c>
      <c r="O111" s="165"/>
      <c r="P111" s="165"/>
      <c r="Q111" s="227"/>
    </row>
    <row r="112" spans="1:17" ht="15" customHeight="1" x14ac:dyDescent="0.25">
      <c r="A112" s="164" t="s">
        <v>715</v>
      </c>
      <c r="B112" s="189" t="str">
        <f t="shared" si="16"/>
        <v>H DE  MASSIEL</v>
      </c>
      <c r="C112" s="167">
        <v>45883</v>
      </c>
      <c r="D112" s="165" t="s">
        <v>23</v>
      </c>
      <c r="E112" s="173"/>
      <c r="F112" s="165" t="s">
        <v>717</v>
      </c>
      <c r="G112" s="165" t="s">
        <v>70</v>
      </c>
      <c r="H112" s="165" t="s">
        <v>333</v>
      </c>
      <c r="I112" s="165" t="s">
        <v>214</v>
      </c>
      <c r="J112" s="165">
        <f t="shared" ca="1" si="15"/>
        <v>0</v>
      </c>
      <c r="K112" s="165">
        <f t="shared" ca="1" si="14"/>
        <v>6</v>
      </c>
      <c r="L112" s="168">
        <f t="shared" ca="1" si="11"/>
        <v>23.999999999999993</v>
      </c>
      <c r="M112" s="164" t="s">
        <v>643</v>
      </c>
      <c r="N112" t="str">
        <f>VLOOKUP(Fichas[[#This Row],[Num/Madre]],Fichas[[#Headers],[#Data]],2,FALSE)</f>
        <v>MASSIEL</v>
      </c>
      <c r="O112" s="165"/>
      <c r="P112" s="165"/>
      <c r="Q112" s="227"/>
    </row>
    <row r="113" spans="1:65" x14ac:dyDescent="0.25">
      <c r="A113" s="164" t="s">
        <v>725</v>
      </c>
      <c r="B113" s="189" t="str">
        <f t="shared" ref="B113:B118" si="17">CONCATENATE("H DE  ",N113)</f>
        <v>H DE  TRANCO LARGO</v>
      </c>
      <c r="C113" s="167">
        <v>45892</v>
      </c>
      <c r="D113" s="165" t="s">
        <v>23</v>
      </c>
      <c r="E113" s="173" t="s">
        <v>636</v>
      </c>
      <c r="F113" s="173" t="s">
        <v>717</v>
      </c>
      <c r="G113" s="165" t="s">
        <v>711</v>
      </c>
      <c r="H113" s="165" t="s">
        <v>333</v>
      </c>
      <c r="I113" s="165" t="s">
        <v>214</v>
      </c>
      <c r="J113" s="165">
        <f t="shared" ref="J113:J118" ca="1" si="18">INT((TODAY()-C113)/365)</f>
        <v>0</v>
      </c>
      <c r="K113" s="165">
        <f t="shared" ref="K113:K118" ca="1" si="19">INT(((((TODAY()-C113)/365)-J113)*365)/30)</f>
        <v>6</v>
      </c>
      <c r="L113" s="168">
        <f t="shared" ref="L113:L118" ca="1" si="20">((((((TODAY()-C113)/365)-INT((TODAY()-C113)/365))*365)/30)-(K113))*30</f>
        <v>15</v>
      </c>
      <c r="M113" s="164" t="s">
        <v>196</v>
      </c>
      <c r="N113" t="str">
        <f>VLOOKUP(Fichas[[#This Row],[Num/Madre]],Fichas[[#Headers],[#Data]],2,FALSE)</f>
        <v>TRANCO LARGO</v>
      </c>
      <c r="O113" s="165" t="s">
        <v>639</v>
      </c>
      <c r="P113" s="165"/>
      <c r="Q113" s="227"/>
    </row>
    <row r="114" spans="1:65" ht="14.25" customHeight="1" x14ac:dyDescent="0.25">
      <c r="A114" s="164" t="s">
        <v>725</v>
      </c>
      <c r="B114" s="189" t="str">
        <f t="shared" si="17"/>
        <v>H DE  Tatiana Barreto</v>
      </c>
      <c r="C114" s="167">
        <v>45896</v>
      </c>
      <c r="D114" s="165" t="s">
        <v>23</v>
      </c>
      <c r="E114" s="173"/>
      <c r="F114" s="173" t="s">
        <v>718</v>
      </c>
      <c r="G114" s="165" t="s">
        <v>727</v>
      </c>
      <c r="H114" s="165" t="s">
        <v>333</v>
      </c>
      <c r="I114" s="165" t="s">
        <v>32</v>
      </c>
      <c r="J114" s="165">
        <f t="shared" ca="1" si="18"/>
        <v>0</v>
      </c>
      <c r="K114" s="165">
        <f t="shared" ca="1" si="19"/>
        <v>6</v>
      </c>
      <c r="L114" s="168">
        <f t="shared" ca="1" si="20"/>
        <v>10.999999999999961</v>
      </c>
      <c r="M114" s="164" t="s">
        <v>730</v>
      </c>
      <c r="N114" t="str">
        <f>VLOOKUP(Fichas[[#This Row],[Num/Madre]],Fichas[[#Headers],[#Data]],2,FALSE)</f>
        <v>Tatiana Barreto</v>
      </c>
      <c r="O114" s="165" t="s">
        <v>639</v>
      </c>
      <c r="P114" s="165"/>
      <c r="Q114" s="227"/>
      <c r="R114" t="s">
        <v>738</v>
      </c>
    </row>
    <row r="115" spans="1:65" x14ac:dyDescent="0.25">
      <c r="A115" s="164" t="s">
        <v>734</v>
      </c>
      <c r="B115" s="189" t="str">
        <f t="shared" si="17"/>
        <v>H DE  Patanemo Cordero</v>
      </c>
      <c r="C115" s="167">
        <v>45911</v>
      </c>
      <c r="D115" s="165" t="s">
        <v>24</v>
      </c>
      <c r="E115" s="173"/>
      <c r="F115" s="173" t="s">
        <v>726</v>
      </c>
      <c r="G115" s="165" t="s">
        <v>70</v>
      </c>
      <c r="H115" s="165" t="s">
        <v>333</v>
      </c>
      <c r="I115" s="165" t="s">
        <v>214</v>
      </c>
      <c r="J115" s="165">
        <f t="shared" ca="1" si="18"/>
        <v>0</v>
      </c>
      <c r="K115" s="165">
        <f t="shared" ca="1" si="19"/>
        <v>5</v>
      </c>
      <c r="L115" s="168">
        <f t="shared" ca="1" si="20"/>
        <v>25.999999999999986</v>
      </c>
      <c r="M115" s="164" t="s">
        <v>457</v>
      </c>
      <c r="N115" t="str">
        <f>VLOOKUP(Fichas[[#This Row],[Num/Madre]],Fichas[[#Headers],[#Data]],2,FALSE)</f>
        <v>Patanemo Cordero</v>
      </c>
      <c r="O115" s="165"/>
      <c r="P115" s="165"/>
      <c r="Q115" s="227"/>
    </row>
    <row r="116" spans="1:65" x14ac:dyDescent="0.25">
      <c r="A116" s="164" t="s">
        <v>735</v>
      </c>
      <c r="B116" s="189" t="str">
        <f t="shared" si="17"/>
        <v>H DE  Tatiana Barreto</v>
      </c>
      <c r="C116" s="167">
        <v>45920</v>
      </c>
      <c r="D116" s="165" t="s">
        <v>23</v>
      </c>
      <c r="E116" s="173"/>
      <c r="F116" s="173" t="s">
        <v>718</v>
      </c>
      <c r="G116" s="165" t="s">
        <v>711</v>
      </c>
      <c r="H116" s="165" t="s">
        <v>333</v>
      </c>
      <c r="I116" s="165" t="s">
        <v>32</v>
      </c>
      <c r="J116" s="165">
        <f t="shared" ca="1" si="18"/>
        <v>0</v>
      </c>
      <c r="K116" s="165">
        <f t="shared" ca="1" si="19"/>
        <v>5</v>
      </c>
      <c r="L116" s="168">
        <f t="shared" ca="1" si="20"/>
        <v>16.999999999999993</v>
      </c>
      <c r="M116" s="164" t="s">
        <v>730</v>
      </c>
      <c r="N116" t="str">
        <f>VLOOKUP(Fichas[[#This Row],[Num/Madre]],Fichas[[#Headers],[#Data]],2,FALSE)</f>
        <v>Tatiana Barreto</v>
      </c>
      <c r="O116" s="165"/>
      <c r="P116" s="165"/>
      <c r="Q116" s="227"/>
    </row>
    <row r="117" spans="1:65" s="585" customFormat="1" x14ac:dyDescent="0.25">
      <c r="A117" s="164" t="s">
        <v>735</v>
      </c>
      <c r="B117" s="189" t="str">
        <f t="shared" si="17"/>
        <v>H DE  MARIPOSA Barreto</v>
      </c>
      <c r="C117" s="167">
        <v>45933</v>
      </c>
      <c r="D117" s="165" t="s">
        <v>23</v>
      </c>
      <c r="E117" s="173"/>
      <c r="F117" s="173" t="s">
        <v>718</v>
      </c>
      <c r="G117" s="165" t="s">
        <v>711</v>
      </c>
      <c r="H117" s="165" t="s">
        <v>333</v>
      </c>
      <c r="I117" s="165" t="s">
        <v>214</v>
      </c>
      <c r="J117" s="165">
        <f t="shared" ca="1" si="18"/>
        <v>0</v>
      </c>
      <c r="K117" s="165">
        <f t="shared" ca="1" si="19"/>
        <v>5</v>
      </c>
      <c r="L117" s="168">
        <f t="shared" ca="1" si="20"/>
        <v>4.0000000000000124</v>
      </c>
      <c r="M117" s="164" t="s">
        <v>736</v>
      </c>
      <c r="N117" t="str">
        <f>VLOOKUP(Fichas[[#This Row],[Num/Madre]],Fichas[[#Headers],[#Data]],2,FALSE)</f>
        <v>MARIPOSA Barreto</v>
      </c>
      <c r="O117" s="165"/>
      <c r="P117" s="165"/>
      <c r="Q117" s="227"/>
      <c r="R117"/>
      <c r="AA117"/>
      <c r="AT117"/>
      <c r="AV117"/>
      <c r="BE117"/>
      <c r="BK117"/>
      <c r="BM117"/>
    </row>
    <row r="118" spans="1:65" s="585" customFormat="1" x14ac:dyDescent="0.25">
      <c r="A118" s="164" t="s">
        <v>740</v>
      </c>
      <c r="B118" s="189" t="str">
        <f t="shared" si="17"/>
        <v>H DE  Esperanza</v>
      </c>
      <c r="C118" s="167">
        <v>45950</v>
      </c>
      <c r="D118" s="165" t="s">
        <v>24</v>
      </c>
      <c r="E118" s="173" t="s">
        <v>636</v>
      </c>
      <c r="F118" s="173" t="s">
        <v>717</v>
      </c>
      <c r="G118" s="165" t="s">
        <v>744</v>
      </c>
      <c r="H118" s="165" t="s">
        <v>333</v>
      </c>
      <c r="I118" s="165" t="s">
        <v>214</v>
      </c>
      <c r="J118" s="165">
        <f t="shared" ca="1" si="18"/>
        <v>0</v>
      </c>
      <c r="K118" s="165">
        <f t="shared" ca="1" si="19"/>
        <v>4</v>
      </c>
      <c r="L118" s="168">
        <f t="shared" ca="1" si="20"/>
        <v>16.999999999999993</v>
      </c>
      <c r="M118" s="164" t="s">
        <v>378</v>
      </c>
      <c r="N118" t="str">
        <f>VLOOKUP(Fichas[[#This Row],[Num/Madre]],Fichas[[#Headers],[#Data]],2,FALSE)</f>
        <v>Esperanza</v>
      </c>
      <c r="O118" s="165"/>
      <c r="P118" s="165"/>
      <c r="Q118" s="227"/>
      <c r="R118"/>
      <c r="AA118"/>
      <c r="AT118"/>
      <c r="AV118"/>
      <c r="BE118"/>
      <c r="BK118"/>
      <c r="BM118"/>
    </row>
    <row r="119" spans="1:65" s="585" customFormat="1" x14ac:dyDescent="0.25">
      <c r="A119" s="164" t="s">
        <v>743</v>
      </c>
      <c r="B119" s="189" t="str">
        <f>CONCATENATE("H DE  ",N119)</f>
        <v>H DE  LA YEGUA</v>
      </c>
      <c r="C119" s="167">
        <v>45953</v>
      </c>
      <c r="D119" s="165" t="s">
        <v>24</v>
      </c>
      <c r="E119" s="173"/>
      <c r="F119" s="173" t="s">
        <v>717</v>
      </c>
      <c r="G119" s="165" t="s">
        <v>70</v>
      </c>
      <c r="H119" s="165" t="s">
        <v>333</v>
      </c>
      <c r="I119" s="165" t="s">
        <v>214</v>
      </c>
      <c r="J119" s="165">
        <f ca="1">INT((TODAY()-C119)/365)</f>
        <v>0</v>
      </c>
      <c r="K119" s="165">
        <f ca="1">INT(((((TODAY()-C119)/365)-J119)*365)/30)</f>
        <v>4</v>
      </c>
      <c r="L119" s="168">
        <f ca="1">((((((TODAY()-C119)/365)-INT((TODAY()-C119)/365))*365)/30)-(K119))*30</f>
        <v>14.000000000000004</v>
      </c>
      <c r="M119" s="164" t="s">
        <v>190</v>
      </c>
      <c r="N119" t="str">
        <f>VLOOKUP(Fichas[[#This Row],[Num/Madre]],Fichas[[#Headers],[#Data]],2,FALSE)</f>
        <v>LA YEGUA</v>
      </c>
      <c r="O119" s="165"/>
      <c r="P119" s="165"/>
      <c r="Q119" s="227"/>
      <c r="R119"/>
      <c r="AA119"/>
      <c r="AT119"/>
      <c r="AV119"/>
      <c r="BE119"/>
      <c r="BK119"/>
      <c r="BM119"/>
    </row>
    <row r="120" spans="1:65" x14ac:dyDescent="0.25">
      <c r="A120" s="164" t="s">
        <v>750</v>
      </c>
      <c r="B120" s="189" t="str">
        <f>CONCATENATE("H DE  ",N120)</f>
        <v>H DE  La Enana Barreto</v>
      </c>
      <c r="C120" s="167">
        <v>45957</v>
      </c>
      <c r="D120" s="165" t="s">
        <v>23</v>
      </c>
      <c r="E120" s="173" t="s">
        <v>636</v>
      </c>
      <c r="F120" s="173" t="s">
        <v>718</v>
      </c>
      <c r="G120" s="165" t="s">
        <v>711</v>
      </c>
      <c r="H120" s="165" t="s">
        <v>333</v>
      </c>
      <c r="I120" s="165" t="s">
        <v>214</v>
      </c>
      <c r="J120" s="165">
        <f ca="1">INT((TODAY()-C120)/365)</f>
        <v>0</v>
      </c>
      <c r="K120" s="165">
        <f ca="1">INT(((((TODAY()-C120)/365)-J120)*365)/30)</f>
        <v>4</v>
      </c>
      <c r="L120" s="168">
        <f ca="1">((((((TODAY()-C120)/365)-INT((TODAY()-C120)/365))*365)/30)-(K120))*30</f>
        <v>9.9999999999999911</v>
      </c>
      <c r="M120" s="164" t="s">
        <v>747</v>
      </c>
      <c r="N120" t="str">
        <f>VLOOKUP(Fichas[[#This Row],[Num/Madre]],Fichas[[#Headers],[#Data]],2,FALSE)</f>
        <v>La Enana Barreto</v>
      </c>
      <c r="O120" s="165"/>
      <c r="P120" s="165"/>
      <c r="Q120" s="227"/>
    </row>
    <row r="121" spans="1:65" x14ac:dyDescent="0.25">
      <c r="A121" s="580"/>
      <c r="B121" s="581"/>
      <c r="C121" s="582"/>
      <c r="D121" s="581"/>
      <c r="E121" s="581"/>
      <c r="F121" s="581"/>
      <c r="G121" s="581"/>
      <c r="H121" s="581"/>
      <c r="I121" s="583">
        <f>SUBTOTAL(103,Fichas[Status])</f>
        <v>117</v>
      </c>
      <c r="J121" s="581"/>
      <c r="K121" s="581"/>
      <c r="L121" s="581"/>
      <c r="M121" s="583"/>
      <c r="N121" s="581"/>
      <c r="O121" s="581"/>
      <c r="P121" s="581"/>
      <c r="Q121" s="584"/>
      <c r="R121" s="581"/>
    </row>
    <row r="122" spans="1:65" x14ac:dyDescent="0.25">
      <c r="C122" s="7"/>
      <c r="D122" s="7"/>
      <c r="F122" s="70" t="s">
        <v>718</v>
      </c>
      <c r="G122" s="70">
        <f>COUNTIF(Fichas[[Propietario]:[Tipo]],F122)</f>
        <v>19</v>
      </c>
      <c r="L122"/>
    </row>
    <row r="123" spans="1:65" x14ac:dyDescent="0.25">
      <c r="B123" s="264"/>
      <c r="D123" s="422"/>
      <c r="E123" s="1"/>
      <c r="F123" s="92" t="s">
        <v>717</v>
      </c>
      <c r="G123" s="92">
        <f>COUNTIF(Fichas[[Propietario]:[Tipo]],F123)</f>
        <v>38</v>
      </c>
      <c r="J123" s="119"/>
      <c r="K123"/>
      <c r="L123"/>
      <c r="P123"/>
    </row>
    <row r="124" spans="1:65" x14ac:dyDescent="0.25">
      <c r="B124" s="264"/>
      <c r="D124" s="422"/>
      <c r="E124" s="1"/>
      <c r="F124" s="92" t="s">
        <v>726</v>
      </c>
      <c r="G124" s="92">
        <f>COUNTIF(Fichas[[Propietario]:[Tipo]],F124)</f>
        <v>3</v>
      </c>
      <c r="J124" s="119"/>
      <c r="K124"/>
      <c r="L124"/>
      <c r="P124"/>
    </row>
    <row r="125" spans="1:65" x14ac:dyDescent="0.25">
      <c r="B125" s="264"/>
      <c r="D125" s="291" t="s">
        <v>213</v>
      </c>
      <c r="E125" s="70"/>
      <c r="F125" s="291" t="s">
        <v>331</v>
      </c>
      <c r="G125" s="70" t="s">
        <v>717</v>
      </c>
      <c r="H125" s="291" t="s">
        <v>331</v>
      </c>
      <c r="I125" s="70" t="s">
        <v>718</v>
      </c>
      <c r="J125" s="291" t="s">
        <v>331</v>
      </c>
      <c r="K125" s="70" t="s">
        <v>726</v>
      </c>
    </row>
    <row r="126" spans="1:65" x14ac:dyDescent="0.25">
      <c r="B126" s="264"/>
      <c r="D126" s="70" t="s">
        <v>101</v>
      </c>
      <c r="E126" s="550">
        <f>COUNTIFS(Fichas[Lote],D126,Fichas[Status],"Vivos")</f>
        <v>20</v>
      </c>
      <c r="F126" s="70" t="s">
        <v>332</v>
      </c>
      <c r="G126" s="550">
        <f>COUNTIFS(Fichas[Tipo],F126,Fichas[Status],"Vivos",Fichas[Propietario],$G$125)</f>
        <v>10</v>
      </c>
      <c r="H126" s="70" t="s">
        <v>332</v>
      </c>
      <c r="I126" s="39">
        <f>COUNTIFS(Fichas[Tipo],H126,Fichas[Status],"Vivos",Fichas[Propietario],$I$125)</f>
        <v>9</v>
      </c>
      <c r="J126" s="70" t="s">
        <v>332</v>
      </c>
      <c r="K126" s="39">
        <f>COUNTIFS(Fichas[Tipo],J126,Fichas[Status],"Vivos",Fichas[Propietario],$K$125)</f>
        <v>1</v>
      </c>
    </row>
    <row r="127" spans="1:65" x14ac:dyDescent="0.25">
      <c r="B127" s="264"/>
      <c r="D127" s="70" t="s">
        <v>314</v>
      </c>
      <c r="E127" s="550">
        <f>COUNTIFS(Fichas[Lote],D127,Fichas[Status],"Vivos")</f>
        <v>0</v>
      </c>
      <c r="F127" s="70" t="s">
        <v>630</v>
      </c>
      <c r="G127" s="550">
        <f>COUNTIFS(Fichas[Tipo],F127,Fichas[Status],"Vivos",Fichas[Propietario],$G$125)</f>
        <v>1</v>
      </c>
      <c r="H127" s="70" t="s">
        <v>630</v>
      </c>
      <c r="I127" s="550">
        <f>COUNTIFS(Fichas[Tipo],H127,Fichas[Status],"Vivos",Fichas[Propietario],$I$125)</f>
        <v>0</v>
      </c>
      <c r="J127" s="70" t="s">
        <v>630</v>
      </c>
      <c r="K127" s="39">
        <f>COUNTIFS(Fichas[Tipo],J127,Fichas[Status],"Vivos",Fichas[Propietario],$K$125)</f>
        <v>0</v>
      </c>
    </row>
    <row r="128" spans="1:65" x14ac:dyDescent="0.25">
      <c r="B128" s="264"/>
      <c r="D128" s="70" t="s">
        <v>333</v>
      </c>
      <c r="E128" s="550">
        <f>COUNTIFS(Fichas[Lote],D128,Fichas[Status],"Vivos")</f>
        <v>24</v>
      </c>
      <c r="F128" s="70" t="s">
        <v>711</v>
      </c>
      <c r="G128" s="550">
        <f>COUNTIFS(Fichas[Tipo],F128,Fichas[Status],"Vivos",Fichas[Propietario],$G$125)</f>
        <v>7</v>
      </c>
      <c r="H128" s="70" t="s">
        <v>711</v>
      </c>
      <c r="I128" s="550">
        <f>COUNTIFS(Fichas[Tipo],H128,Fichas[Status],"Vivos",Fichas[Propietario],$I$125)</f>
        <v>2</v>
      </c>
      <c r="J128" s="70" t="s">
        <v>711</v>
      </c>
      <c r="K128" s="39">
        <f>COUNTIFS(Fichas[Tipo],J128,Fichas[Status],"Vivos",Fichas[Propietario],$K$125)</f>
        <v>1</v>
      </c>
    </row>
    <row r="129" spans="2:11" x14ac:dyDescent="0.25">
      <c r="B129" s="264"/>
      <c r="D129" s="70" t="s">
        <v>102</v>
      </c>
      <c r="E129" s="550">
        <f>COUNTIFS(Fichas[Lote],D129,Fichas[Status],"Vivos")</f>
        <v>10</v>
      </c>
      <c r="F129" s="70" t="s">
        <v>70</v>
      </c>
      <c r="G129" s="550">
        <f>COUNTIFS(Fichas[Tipo],F129,Fichas[Status],"Vivos",Fichas[Propietario],$G$125)</f>
        <v>8</v>
      </c>
      <c r="H129" s="70" t="s">
        <v>70</v>
      </c>
      <c r="I129" s="39">
        <f>COUNTIFS(Fichas[Tipo],H129,Fichas[Status],"Vivos",Fichas[Propietario],$I$125)</f>
        <v>5</v>
      </c>
      <c r="J129" s="70" t="s">
        <v>70</v>
      </c>
      <c r="K129" s="39">
        <f>COUNTIFS(Fichas[Tipo],J129,Fichas[Status],"Vivos",Fichas[Propietario],$K$125)</f>
        <v>1</v>
      </c>
    </row>
    <row r="130" spans="2:11" x14ac:dyDescent="0.25">
      <c r="B130" s="264"/>
      <c r="D130" s="70" t="s">
        <v>467</v>
      </c>
      <c r="E130" s="550">
        <f>COUNTIFS(Fichas[Lote],D130,Fichas[Status],"Vivos")</f>
        <v>0</v>
      </c>
      <c r="F130" s="70" t="s">
        <v>102</v>
      </c>
      <c r="G130" s="550">
        <f>COUNTIFS(Fichas[Tipo],F130,Fichas[Status],"Vivos",Fichas[Propietario],$G$125)</f>
        <v>10</v>
      </c>
      <c r="H130" s="70" t="s">
        <v>102</v>
      </c>
      <c r="I130" s="550">
        <f>COUNTIFS(Fichas[Tipo],H130,Fichas[Status],"Vivos",Fichas[Propietario],$I$125)</f>
        <v>0</v>
      </c>
      <c r="J130" s="70" t="s">
        <v>102</v>
      </c>
      <c r="K130" s="39">
        <f>COUNTIFS(Fichas[Tipo],J130,Fichas[Status],"Vivos",Fichas[Propietario],$K$125)</f>
        <v>0</v>
      </c>
    </row>
    <row r="131" spans="2:11" x14ac:dyDescent="0.25">
      <c r="D131" s="70" t="s">
        <v>69</v>
      </c>
      <c r="E131" s="550">
        <f>COUNTIFS(Fichas[Lote],D131,Fichas[Status],"Vivos")</f>
        <v>1</v>
      </c>
      <c r="F131" s="70" t="s">
        <v>467</v>
      </c>
      <c r="G131" s="550">
        <f>COUNTIFS(Fichas[Tipo],F131,Fichas[Status],"Vivos",Fichas[Propietario],$G$125)</f>
        <v>0</v>
      </c>
      <c r="H131" s="70" t="s">
        <v>467</v>
      </c>
      <c r="I131" s="550">
        <f>COUNTIFS(Fichas[Tipo],H131,Fichas[Status],"Vivos",Fichas[Propietario],$I$125)</f>
        <v>0</v>
      </c>
      <c r="J131" s="70" t="s">
        <v>467</v>
      </c>
      <c r="K131" s="39">
        <f>COUNTIFS(Fichas[Tipo],J131,Fichas[Status],"Vivos",Fichas[Propietario],$K$125)</f>
        <v>0</v>
      </c>
    </row>
    <row r="132" spans="2:11" x14ac:dyDescent="0.25">
      <c r="D132" s="70" t="s">
        <v>25</v>
      </c>
      <c r="E132" s="550">
        <f>COUNTIFS(Fichas[Lote],D132,Fichas[Status],"Vivos")</f>
        <v>1</v>
      </c>
      <c r="F132" s="70" t="s">
        <v>29</v>
      </c>
      <c r="G132" s="550">
        <f>COUNTIFS(Fichas[Tipo],F132,Fichas[Status],"Vivos",Fichas[Propietario],$G$125)</f>
        <v>1</v>
      </c>
      <c r="H132" s="70" t="s">
        <v>29</v>
      </c>
      <c r="I132" s="550">
        <f>COUNTIFS(Fichas[Tipo],H132,Fichas[Status],"Vivos",Fichas[Propietario],$I$125)</f>
        <v>0</v>
      </c>
      <c r="J132" s="70" t="s">
        <v>29</v>
      </c>
      <c r="K132" s="39">
        <f>COUNTIFS(Fichas[Tipo],J132,Fichas[Status],"Vivos",Fichas[Propietario],$K$125)</f>
        <v>0</v>
      </c>
    </row>
    <row r="133" spans="2:11" x14ac:dyDescent="0.25">
      <c r="D133" s="70"/>
      <c r="E133" s="550">
        <f>SUM(E126:E132)</f>
        <v>56</v>
      </c>
      <c r="F133" s="550"/>
      <c r="G133" s="39">
        <f>SUM(G126:G132)</f>
        <v>37</v>
      </c>
      <c r="H133" s="550"/>
      <c r="I133" s="39">
        <f>SUM(I126:I132)</f>
        <v>16</v>
      </c>
      <c r="J133" s="551"/>
      <c r="K133" s="39">
        <f>SUM(K126:K132)</f>
        <v>3</v>
      </c>
    </row>
  </sheetData>
  <mergeCells count="2">
    <mergeCell ref="M1:N1"/>
    <mergeCell ref="I2:K2"/>
  </mergeCells>
  <phoneticPr fontId="3" type="noConversion"/>
  <printOptions horizontalCentered="1"/>
  <pageMargins left="0.9055118110236221" right="0.51181102362204722" top="0.78740157480314965" bottom="0.74803149606299213" header="0.31496062992125984" footer="0.31496062992125984"/>
  <pageSetup scale="61" fitToHeight="0" orientation="landscape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K81"/>
  <sheetViews>
    <sheetView workbookViewId="0">
      <selection activeCell="B2" sqref="B2"/>
    </sheetView>
  </sheetViews>
  <sheetFormatPr baseColWidth="10" defaultColWidth="10.7109375" defaultRowHeight="15" x14ac:dyDescent="0.25"/>
  <cols>
    <col min="2" max="2" width="15" customWidth="1"/>
    <col min="5" max="5" width="18.28515625" customWidth="1"/>
    <col min="6" max="6" width="14.85546875" style="100" customWidth="1"/>
    <col min="7" max="7" width="15.42578125" customWidth="1"/>
    <col min="8" max="8" width="9.7109375" customWidth="1"/>
    <col min="9" max="9" width="14.42578125" style="114" customWidth="1"/>
    <col min="10" max="10" width="26.42578125" customWidth="1"/>
  </cols>
  <sheetData>
    <row r="1" spans="1:10" x14ac:dyDescent="0.25">
      <c r="A1" s="175" t="s">
        <v>129</v>
      </c>
      <c r="B1" s="176" t="s">
        <v>346</v>
      </c>
      <c r="C1" s="175" t="s">
        <v>12</v>
      </c>
      <c r="D1" s="177" t="s">
        <v>529</v>
      </c>
      <c r="E1" s="177" t="s">
        <v>339</v>
      </c>
      <c r="F1" s="177" t="s">
        <v>26</v>
      </c>
      <c r="G1" s="177" t="s">
        <v>131</v>
      </c>
      <c r="H1" s="178" t="s">
        <v>45</v>
      </c>
      <c r="I1" s="177" t="s">
        <v>51</v>
      </c>
      <c r="J1" s="177" t="s">
        <v>315</v>
      </c>
    </row>
    <row r="2" spans="1:10" x14ac:dyDescent="0.25">
      <c r="A2" s="179" t="s">
        <v>347</v>
      </c>
      <c r="B2" s="179" t="str">
        <f>CONCATENATE(RIGHT(YEAR(C2),2),Partos[[#This Row],[Columna1]])</f>
        <v>16001</v>
      </c>
      <c r="C2" s="180">
        <v>42641</v>
      </c>
      <c r="D2" s="179">
        <v>95</v>
      </c>
      <c r="E2" s="177" t="str">
        <f>VLOOKUP(Partos[[#This Row],[Numero Vaca]],Fichas[#All],2,FALSE)</f>
        <v>Fundadora</v>
      </c>
      <c r="F2" s="177" t="s">
        <v>24</v>
      </c>
      <c r="G2" s="177"/>
      <c r="H2" s="178">
        <f t="shared" ref="H2:H43" ca="1" si="0">(TODAY()-C2)/30</f>
        <v>114.86666666666666</v>
      </c>
      <c r="I2" s="181"/>
      <c r="J2" s="181"/>
    </row>
    <row r="3" spans="1:10" x14ac:dyDescent="0.25">
      <c r="A3" s="179" t="s">
        <v>348</v>
      </c>
      <c r="B3" s="179" t="str">
        <f>CONCATENATE(RIGHT(YEAR(C3),2),Partos[[#This Row],[Columna1]])</f>
        <v>18002</v>
      </c>
      <c r="C3" s="180">
        <v>43111</v>
      </c>
      <c r="D3" s="179">
        <v>95</v>
      </c>
      <c r="E3" s="177" t="str">
        <f>VLOOKUP(Partos[[#This Row],[Numero Vaca]],Fichas[#All],2,FALSE)</f>
        <v>Fundadora</v>
      </c>
      <c r="F3" s="177" t="s">
        <v>23</v>
      </c>
      <c r="G3" s="177"/>
      <c r="H3" s="178">
        <f t="shared" ca="1" si="0"/>
        <v>99.2</v>
      </c>
      <c r="I3" s="177"/>
      <c r="J3" s="177"/>
    </row>
    <row r="4" spans="1:10" x14ac:dyDescent="0.25">
      <c r="A4" s="179" t="s">
        <v>349</v>
      </c>
      <c r="B4" s="179" t="str">
        <f>CONCATENATE(RIGHT(YEAR(C4),2),Partos[[#This Row],[Columna1]])</f>
        <v>18003</v>
      </c>
      <c r="C4" s="180">
        <v>43262</v>
      </c>
      <c r="D4" s="179" t="s">
        <v>309</v>
      </c>
      <c r="E4" s="177" t="str">
        <f>VLOOKUP(Partos[[#This Row],[Numero Vaca]],Fichas[#All],2,FALSE)</f>
        <v>La Negra</v>
      </c>
      <c r="F4" s="177" t="s">
        <v>24</v>
      </c>
      <c r="G4" s="177"/>
      <c r="H4" s="178">
        <f t="shared" ca="1" si="0"/>
        <v>94.166666666666671</v>
      </c>
      <c r="I4" s="181" t="s">
        <v>55</v>
      </c>
      <c r="J4" s="181"/>
    </row>
    <row r="5" spans="1:10" x14ac:dyDescent="0.25">
      <c r="A5" s="179" t="s">
        <v>350</v>
      </c>
      <c r="B5" s="179" t="str">
        <f>CONCATENATE(RIGHT(YEAR(C5),2),Partos[[#This Row],[Columna1]])</f>
        <v>18004</v>
      </c>
      <c r="C5" s="180">
        <v>43312</v>
      </c>
      <c r="D5" s="179" t="s">
        <v>304</v>
      </c>
      <c r="E5" s="177" t="str">
        <f>VLOOKUP(Partos[[#This Row],[Numero Vaca]],Fichas[#All],2,FALSE)</f>
        <v>Morena</v>
      </c>
      <c r="F5" s="177" t="s">
        <v>23</v>
      </c>
      <c r="G5" s="177"/>
      <c r="H5" s="178">
        <f t="shared" ca="1" si="0"/>
        <v>92.5</v>
      </c>
      <c r="I5" s="177"/>
      <c r="J5" s="177"/>
    </row>
    <row r="6" spans="1:10" x14ac:dyDescent="0.25">
      <c r="A6" s="179" t="s">
        <v>351</v>
      </c>
      <c r="B6" s="179" t="str">
        <f>CONCATENATE(RIGHT(YEAR(C6),2),Partos[[#This Row],[Columna1]])</f>
        <v>19005</v>
      </c>
      <c r="C6" s="180">
        <v>43573</v>
      </c>
      <c r="D6" s="179">
        <v>98</v>
      </c>
      <c r="E6" s="177" t="str">
        <f>VLOOKUP(Partos[[#This Row],[Numero Vaca]],Fichas[#All],2,FALSE)</f>
        <v>Cachito</v>
      </c>
      <c r="F6" s="177" t="s">
        <v>24</v>
      </c>
      <c r="G6" s="177"/>
      <c r="H6" s="178">
        <f t="shared" ca="1" si="0"/>
        <v>83.8</v>
      </c>
      <c r="I6" s="177" t="s">
        <v>55</v>
      </c>
      <c r="J6" s="177"/>
    </row>
    <row r="7" spans="1:10" x14ac:dyDescent="0.25">
      <c r="A7" s="179" t="s">
        <v>352</v>
      </c>
      <c r="B7" s="179" t="str">
        <f>CONCATENATE(RIGHT(YEAR(C7),2),Partos[[#This Row],[Columna1]])</f>
        <v>19006</v>
      </c>
      <c r="C7" s="180">
        <v>43576</v>
      </c>
      <c r="D7" s="179" t="s">
        <v>424</v>
      </c>
      <c r="E7" s="177" t="str">
        <f>VLOOKUP(Partos[[#This Row],[Numero Vaca]],Fichas[#All],2,FALSE)</f>
        <v>Carapacho</v>
      </c>
      <c r="F7" s="177" t="s">
        <v>24</v>
      </c>
      <c r="G7" s="177"/>
      <c r="H7" s="178">
        <f t="shared" ca="1" si="0"/>
        <v>83.7</v>
      </c>
      <c r="I7" s="181"/>
      <c r="J7" s="181"/>
    </row>
    <row r="8" spans="1:10" x14ac:dyDescent="0.25">
      <c r="A8" s="179" t="s">
        <v>353</v>
      </c>
      <c r="B8" s="179" t="str">
        <f>CONCATENATE(RIGHT(YEAR(C8),2),Partos[[#This Row],[Columna1]])</f>
        <v>19007</v>
      </c>
      <c r="C8" s="180">
        <v>43769</v>
      </c>
      <c r="D8" s="179" t="s">
        <v>304</v>
      </c>
      <c r="E8" s="177" t="str">
        <f>VLOOKUP(Partos[[#This Row],[Numero Vaca]],Fichas[#All],2,FALSE)</f>
        <v>Morena</v>
      </c>
      <c r="F8" s="177" t="s">
        <v>24</v>
      </c>
      <c r="G8" s="177"/>
      <c r="H8" s="178">
        <f t="shared" ca="1" si="0"/>
        <v>77.266666666666666</v>
      </c>
      <c r="I8" s="181"/>
      <c r="J8" s="181"/>
    </row>
    <row r="9" spans="1:10" x14ac:dyDescent="0.25">
      <c r="A9" s="179" t="s">
        <v>354</v>
      </c>
      <c r="B9" s="179" t="str">
        <f>CONCATENATE(RIGHT(YEAR(C9),2),Partos[[#This Row],[Columna1]])</f>
        <v>19008</v>
      </c>
      <c r="C9" s="180">
        <v>43780</v>
      </c>
      <c r="D9" s="179" t="s">
        <v>309</v>
      </c>
      <c r="E9" s="177" t="str">
        <f>VLOOKUP(Partos[[#This Row],[Numero Vaca]],Fichas[#All],2,FALSE)</f>
        <v>La Negra</v>
      </c>
      <c r="F9" s="177" t="s">
        <v>24</v>
      </c>
      <c r="G9" s="177"/>
      <c r="H9" s="178">
        <f t="shared" ca="1" si="0"/>
        <v>76.900000000000006</v>
      </c>
      <c r="I9" s="177"/>
      <c r="J9" s="177"/>
    </row>
    <row r="10" spans="1:10" x14ac:dyDescent="0.25">
      <c r="A10" s="179" t="s">
        <v>355</v>
      </c>
      <c r="B10" s="179" t="str">
        <f>CONCATENATE(RIGHT(YEAR(C10),2),Partos[[#This Row],[Columna1]])</f>
        <v>19009</v>
      </c>
      <c r="C10" s="180">
        <v>43795</v>
      </c>
      <c r="D10" s="179">
        <v>95</v>
      </c>
      <c r="E10" s="177" t="str">
        <f>VLOOKUP(Partos[[#This Row],[Numero Vaca]],Fichas[#All],2,FALSE)</f>
        <v>Fundadora</v>
      </c>
      <c r="F10" s="177" t="s">
        <v>24</v>
      </c>
      <c r="G10" s="177"/>
      <c r="H10" s="178">
        <f t="shared" ca="1" si="0"/>
        <v>76.400000000000006</v>
      </c>
      <c r="I10" s="181" t="s">
        <v>55</v>
      </c>
      <c r="J10" s="181"/>
    </row>
    <row r="11" spans="1:10" x14ac:dyDescent="0.25">
      <c r="A11" s="179" t="s">
        <v>356</v>
      </c>
      <c r="B11" s="179" t="str">
        <f>CONCATENATE(RIGHT(YEAR(C11),2),Partos[[#This Row],[Columna1]])</f>
        <v>20010</v>
      </c>
      <c r="C11" s="180">
        <v>43926</v>
      </c>
      <c r="D11" s="179" t="s">
        <v>424</v>
      </c>
      <c r="E11" s="177" t="str">
        <f>VLOOKUP(Partos[[#This Row],[Numero Vaca]],Fichas[#All],2,FALSE)</f>
        <v>Carapacho</v>
      </c>
      <c r="F11" s="177" t="s">
        <v>23</v>
      </c>
      <c r="G11" s="177"/>
      <c r="H11" s="178">
        <f t="shared" ca="1" si="0"/>
        <v>72.033333333333331</v>
      </c>
      <c r="I11" s="181"/>
      <c r="J11" s="181"/>
    </row>
    <row r="12" spans="1:10" x14ac:dyDescent="0.25">
      <c r="A12" s="179" t="s">
        <v>357</v>
      </c>
      <c r="B12" s="179" t="str">
        <f>CONCATENATE(RIGHT(YEAR(C12),2),Partos[[#This Row],[Columna1]])</f>
        <v>20011</v>
      </c>
      <c r="C12" s="180">
        <v>44159</v>
      </c>
      <c r="D12" s="179">
        <v>95</v>
      </c>
      <c r="E12" s="177" t="str">
        <f>VLOOKUP(Partos[[#This Row],[Numero Vaca]],Fichas[#All],2,FALSE)</f>
        <v>Fundadora</v>
      </c>
      <c r="F12" s="177" t="s">
        <v>23</v>
      </c>
      <c r="G12" s="177"/>
      <c r="H12" s="178">
        <f t="shared" ca="1" si="0"/>
        <v>64.266666666666666</v>
      </c>
      <c r="I12" s="177"/>
      <c r="J12" s="177"/>
    </row>
    <row r="13" spans="1:10" x14ac:dyDescent="0.25">
      <c r="A13" s="179" t="s">
        <v>358</v>
      </c>
      <c r="B13" s="179" t="str">
        <f>CONCATENATE(RIGHT(YEAR(C13),2),Partos[[#This Row],[Columna1]])</f>
        <v>21012</v>
      </c>
      <c r="C13" s="180">
        <v>44407</v>
      </c>
      <c r="D13" s="179" t="s">
        <v>430</v>
      </c>
      <c r="E13" s="177" t="str">
        <f>VLOOKUP(Partos[[#This Row],[Numero Vaca]],Fichas[#All],2,FALSE)</f>
        <v>BLANQUITA</v>
      </c>
      <c r="F13" s="177" t="s">
        <v>24</v>
      </c>
      <c r="G13" s="177"/>
      <c r="H13" s="178">
        <f t="shared" ca="1" si="0"/>
        <v>56</v>
      </c>
      <c r="I13" s="177" t="s">
        <v>318</v>
      </c>
      <c r="J13" s="182" t="s">
        <v>320</v>
      </c>
    </row>
    <row r="14" spans="1:10" x14ac:dyDescent="0.25">
      <c r="A14" s="179" t="s">
        <v>359</v>
      </c>
      <c r="B14" s="179" t="str">
        <f>CONCATENATE(RIGHT(YEAR(C14),2),Partos[[#This Row],[Columna1]])</f>
        <v>21013</v>
      </c>
      <c r="C14" s="180">
        <v>44411</v>
      </c>
      <c r="D14" s="179" t="s">
        <v>378</v>
      </c>
      <c r="E14" s="177" t="str">
        <f>VLOOKUP(Partos[[#This Row],[Numero Vaca]],Fichas[#All],2,FALSE)</f>
        <v>Esperanza</v>
      </c>
      <c r="F14" s="177" t="s">
        <v>24</v>
      </c>
      <c r="G14" s="177"/>
      <c r="H14" s="178">
        <f t="shared" ca="1" si="0"/>
        <v>55.866666666666667</v>
      </c>
      <c r="I14" s="181" t="s">
        <v>121</v>
      </c>
      <c r="J14" s="181"/>
    </row>
    <row r="15" spans="1:10" x14ac:dyDescent="0.25">
      <c r="A15" s="179" t="s">
        <v>360</v>
      </c>
      <c r="B15" s="179" t="str">
        <f>CONCATENATE(RIGHT(YEAR(C15),2),Partos[[#This Row],[Columna1]])</f>
        <v>21014</v>
      </c>
      <c r="C15" s="180">
        <v>44416</v>
      </c>
      <c r="D15" s="179" t="s">
        <v>309</v>
      </c>
      <c r="E15" s="177" t="str">
        <f>VLOOKUP(Partos[[#This Row],[Numero Vaca]],Fichas[#All],2,FALSE)</f>
        <v>La Negra</v>
      </c>
      <c r="F15" s="177" t="s">
        <v>23</v>
      </c>
      <c r="G15" s="177"/>
      <c r="H15" s="178">
        <f t="shared" ca="1" si="0"/>
        <v>55.7</v>
      </c>
      <c r="I15" s="181"/>
      <c r="J15" s="181"/>
    </row>
    <row r="16" spans="1:10" x14ac:dyDescent="0.25">
      <c r="A16" s="179" t="s">
        <v>361</v>
      </c>
      <c r="B16" s="179" t="str">
        <f>CONCATENATE(RIGHT(YEAR(C16),2),Partos[[#This Row],[Columna1]])</f>
        <v>21015</v>
      </c>
      <c r="C16" s="180">
        <v>44418</v>
      </c>
      <c r="D16" s="179" t="s">
        <v>304</v>
      </c>
      <c r="E16" s="177" t="str">
        <f>VLOOKUP(Partos[[#This Row],[Numero Vaca]],Fichas[#All],2,FALSE)</f>
        <v>Morena</v>
      </c>
      <c r="F16" s="177" t="s">
        <v>23</v>
      </c>
      <c r="G16" s="177"/>
      <c r="H16" s="178">
        <f t="shared" ca="1" si="0"/>
        <v>55.633333333333333</v>
      </c>
      <c r="I16" s="177" t="s">
        <v>121</v>
      </c>
      <c r="J16" s="177"/>
    </row>
    <row r="17" spans="1:11" x14ac:dyDescent="0.25">
      <c r="A17" s="179" t="s">
        <v>362</v>
      </c>
      <c r="B17" s="179" t="str">
        <f>CONCATENATE(RIGHT(YEAR(C17),2),Partos[[#This Row],[Columna1]])</f>
        <v>21016</v>
      </c>
      <c r="C17" s="180">
        <v>44536</v>
      </c>
      <c r="D17" s="179" t="s">
        <v>424</v>
      </c>
      <c r="E17" s="177" t="str">
        <f>VLOOKUP(Partos[[#This Row],[Numero Vaca]],Fichas[#All],2,FALSE)</f>
        <v>Carapacho</v>
      </c>
      <c r="F17" s="177" t="s">
        <v>24</v>
      </c>
      <c r="G17" s="177"/>
      <c r="H17" s="178">
        <f t="shared" ca="1" si="0"/>
        <v>51.7</v>
      </c>
      <c r="I17" s="177" t="s">
        <v>318</v>
      </c>
      <c r="J17" s="182" t="s">
        <v>319</v>
      </c>
    </row>
    <row r="18" spans="1:11" x14ac:dyDescent="0.25">
      <c r="A18" s="179" t="s">
        <v>363</v>
      </c>
      <c r="B18" s="179" t="str">
        <f>CONCATENATE(RIGHT(YEAR(C18),2),Partos[[#This Row],[Columna1]])</f>
        <v>22017</v>
      </c>
      <c r="C18" s="180">
        <v>44640</v>
      </c>
      <c r="D18" s="179" t="s">
        <v>114</v>
      </c>
      <c r="E18" s="177" t="str">
        <f>VLOOKUP(Partos[[#This Row],[Numero Vaca]],Fichas[#All],2,FALSE)</f>
        <v>Yolimar</v>
      </c>
      <c r="F18" s="177" t="s">
        <v>23</v>
      </c>
      <c r="G18" s="177">
        <v>26</v>
      </c>
      <c r="H18" s="178">
        <f t="shared" ca="1" si="0"/>
        <v>48.233333333333334</v>
      </c>
      <c r="I18" s="181"/>
      <c r="J18" s="181"/>
      <c r="K18" s="184"/>
    </row>
    <row r="19" spans="1:11" x14ac:dyDescent="0.25">
      <c r="A19" s="179" t="s">
        <v>364</v>
      </c>
      <c r="B19" s="179" t="str">
        <f>CONCATENATE(RIGHT(YEAR(C19),2),Partos[[#This Row],[Columna1]])</f>
        <v>22018</v>
      </c>
      <c r="C19" s="180">
        <v>44647</v>
      </c>
      <c r="D19" s="179" t="s">
        <v>113</v>
      </c>
      <c r="E19" s="177" t="str">
        <f>VLOOKUP(Partos[[#This Row],[Numero Vaca]],Fichas[#All],2,FALSE)</f>
        <v>Maria Jose</v>
      </c>
      <c r="F19" s="177" t="s">
        <v>23</v>
      </c>
      <c r="G19" s="177">
        <v>33</v>
      </c>
      <c r="H19" s="178">
        <f t="shared" ca="1" si="0"/>
        <v>48</v>
      </c>
      <c r="I19" s="177"/>
      <c r="J19" s="177"/>
    </row>
    <row r="20" spans="1:11" x14ac:dyDescent="0.25">
      <c r="A20" s="179" t="s">
        <v>464</v>
      </c>
      <c r="B20" s="179" t="s">
        <v>341</v>
      </c>
      <c r="C20" s="180">
        <v>44725</v>
      </c>
      <c r="D20" s="179" t="s">
        <v>193</v>
      </c>
      <c r="E20" s="177" t="str">
        <f>VLOOKUP(Partos[[#This Row],[Numero Vaca]],Fichas[#All],2,FALSE)</f>
        <v>ESTRELLA</v>
      </c>
      <c r="F20" s="177" t="s">
        <v>23</v>
      </c>
      <c r="G20" s="177"/>
      <c r="H20" s="178">
        <f t="shared" ca="1" si="0"/>
        <v>45.4</v>
      </c>
      <c r="I20" s="177"/>
      <c r="J20" s="177"/>
    </row>
    <row r="21" spans="1:11" x14ac:dyDescent="0.25">
      <c r="A21" s="179" t="s">
        <v>365</v>
      </c>
      <c r="B21" s="179" t="str">
        <f>CONCATENATE(RIGHT(YEAR(C21),2),Partos[[#This Row],[Columna1]])</f>
        <v>22019</v>
      </c>
      <c r="C21" s="180">
        <v>44749</v>
      </c>
      <c r="D21" s="179" t="s">
        <v>304</v>
      </c>
      <c r="E21" s="177" t="str">
        <f>VLOOKUP(Partos[[#This Row],[Numero Vaca]],Fichas[#All],2,FALSE)</f>
        <v>Morena</v>
      </c>
      <c r="F21" s="177" t="s">
        <v>23</v>
      </c>
      <c r="G21" s="177">
        <v>41</v>
      </c>
      <c r="H21" s="178">
        <f t="shared" ca="1" si="0"/>
        <v>44.6</v>
      </c>
      <c r="I21" s="181"/>
      <c r="J21" s="181"/>
    </row>
    <row r="22" spans="1:11" x14ac:dyDescent="0.25">
      <c r="A22" s="179" t="s">
        <v>366</v>
      </c>
      <c r="B22" s="179" t="str">
        <f>CONCATENATE(RIGHT(YEAR(C22),2),Partos[[#This Row],[Columna1]])</f>
        <v>22020</v>
      </c>
      <c r="C22" s="180">
        <v>44752</v>
      </c>
      <c r="D22" s="179" t="s">
        <v>430</v>
      </c>
      <c r="E22" s="177" t="str">
        <f>VLOOKUP(Partos[[#This Row],[Numero Vaca]],Fichas[#All],2,FALSE)</f>
        <v>BLANQUITA</v>
      </c>
      <c r="F22" s="177" t="s">
        <v>24</v>
      </c>
      <c r="G22" s="177">
        <v>47</v>
      </c>
      <c r="H22" s="178">
        <f t="shared" ca="1" si="0"/>
        <v>44.5</v>
      </c>
      <c r="I22" s="177" t="s">
        <v>55</v>
      </c>
      <c r="J22" s="177" t="s">
        <v>241</v>
      </c>
    </row>
    <row r="23" spans="1:11" x14ac:dyDescent="0.25">
      <c r="A23" s="179" t="s">
        <v>476</v>
      </c>
      <c r="B23" s="179" t="s">
        <v>342</v>
      </c>
      <c r="C23" s="180">
        <v>44789</v>
      </c>
      <c r="D23" s="179" t="s">
        <v>191</v>
      </c>
      <c r="E23" s="177" t="str">
        <f>VLOOKUP(Partos[[#This Row],[Numero Vaca]],Fichas[#All],2,FALSE)</f>
        <v>OJOS NEGROS</v>
      </c>
      <c r="F23" s="177" t="s">
        <v>23</v>
      </c>
      <c r="G23" s="177"/>
      <c r="H23" s="178">
        <f t="shared" ca="1" si="0"/>
        <v>43.266666666666666</v>
      </c>
      <c r="I23" s="177"/>
      <c r="J23" s="177"/>
    </row>
    <row r="24" spans="1:11" x14ac:dyDescent="0.25">
      <c r="A24" s="179" t="s">
        <v>367</v>
      </c>
      <c r="B24" s="179" t="str">
        <f>CONCATENATE(RIGHT(YEAR(C24),2),Partos[[#This Row],[Columna1]])</f>
        <v>22021</v>
      </c>
      <c r="C24" s="180">
        <v>44804</v>
      </c>
      <c r="D24" s="179" t="s">
        <v>309</v>
      </c>
      <c r="E24" s="177" t="str">
        <f>VLOOKUP(Partos[[#This Row],[Numero Vaca]],Fichas[#All],2,FALSE)</f>
        <v>La Negra</v>
      </c>
      <c r="F24" s="177" t="s">
        <v>24</v>
      </c>
      <c r="G24" s="177">
        <v>20</v>
      </c>
      <c r="H24" s="178">
        <f t="shared" ca="1" si="0"/>
        <v>42.766666666666666</v>
      </c>
      <c r="I24" s="181" t="s">
        <v>55</v>
      </c>
      <c r="J24" s="181"/>
    </row>
    <row r="25" spans="1:11" x14ac:dyDescent="0.25">
      <c r="A25" s="179" t="s">
        <v>368</v>
      </c>
      <c r="B25" s="179" t="str">
        <f>CONCATENATE(RIGHT(YEAR(C25),2),Partos[[#This Row],[Columna1]])</f>
        <v>22022</v>
      </c>
      <c r="C25" s="180">
        <v>44814</v>
      </c>
      <c r="D25" s="179" t="s">
        <v>378</v>
      </c>
      <c r="E25" s="177" t="str">
        <f>VLOOKUP(Partos[[#This Row],[Numero Vaca]],Fichas[#All],2,FALSE)</f>
        <v>Esperanza</v>
      </c>
      <c r="F25" s="177" t="s">
        <v>24</v>
      </c>
      <c r="G25" s="177">
        <v>20</v>
      </c>
      <c r="H25" s="178">
        <f t="shared" ca="1" si="0"/>
        <v>42.43333333333333</v>
      </c>
      <c r="I25" s="177"/>
      <c r="J25" s="177"/>
    </row>
    <row r="26" spans="1:11" x14ac:dyDescent="0.25">
      <c r="A26" s="179" t="s">
        <v>486</v>
      </c>
      <c r="B26" s="263" t="s">
        <v>385</v>
      </c>
      <c r="C26" s="180">
        <v>44836</v>
      </c>
      <c r="D26" s="179" t="s">
        <v>196</v>
      </c>
      <c r="E26" s="177" t="str">
        <f>VLOOKUP(Partos[[#This Row],[Numero Vaca]],Fichas[#All],2,FALSE)</f>
        <v>TRANCO LARGO</v>
      </c>
      <c r="F26" s="177" t="s">
        <v>24</v>
      </c>
      <c r="G26" s="177"/>
      <c r="H26" s="178">
        <f ca="1">(TODAY()-C26)/30</f>
        <v>41.7</v>
      </c>
      <c r="I26" s="177"/>
      <c r="J26" s="177"/>
    </row>
    <row r="27" spans="1:11" x14ac:dyDescent="0.25">
      <c r="A27" s="179" t="s">
        <v>461</v>
      </c>
      <c r="B27" s="179" t="s">
        <v>343</v>
      </c>
      <c r="C27" s="180">
        <v>44858</v>
      </c>
      <c r="D27" s="179" t="s">
        <v>195</v>
      </c>
      <c r="E27" s="177" t="str">
        <f>VLOOKUP(Partos[[#This Row],[Numero Vaca]],Fichas[#All],2,FALSE)</f>
        <v>VENAITA</v>
      </c>
      <c r="F27" s="177" t="s">
        <v>23</v>
      </c>
      <c r="G27" s="177"/>
      <c r="H27" s="178">
        <f t="shared" ca="1" si="0"/>
        <v>40.966666666666669</v>
      </c>
      <c r="I27" s="181"/>
      <c r="J27" s="181"/>
    </row>
    <row r="28" spans="1:11" x14ac:dyDescent="0.25">
      <c r="A28" s="179" t="s">
        <v>460</v>
      </c>
      <c r="B28" s="179" t="s">
        <v>344</v>
      </c>
      <c r="C28" s="180">
        <v>44894</v>
      </c>
      <c r="D28" s="179" t="s">
        <v>194</v>
      </c>
      <c r="E28" s="177" t="str">
        <f>VLOOKUP(Partos[[#This Row],[Numero Vaca]],Fichas[#All],2,FALSE)</f>
        <v>PARDA</v>
      </c>
      <c r="F28" s="177" t="s">
        <v>23</v>
      </c>
      <c r="G28" s="177"/>
      <c r="H28" s="178">
        <f t="shared" ca="1" si="0"/>
        <v>39.766666666666666</v>
      </c>
      <c r="I28" s="177"/>
      <c r="J28" s="177"/>
    </row>
    <row r="29" spans="1:11" x14ac:dyDescent="0.25">
      <c r="A29" s="179" t="s">
        <v>477</v>
      </c>
      <c r="B29" s="179" t="s">
        <v>386</v>
      </c>
      <c r="C29" s="180">
        <v>44910</v>
      </c>
      <c r="D29" s="179" t="s">
        <v>192</v>
      </c>
      <c r="E29" s="177" t="str">
        <f>VLOOKUP(Partos[[#This Row],[Numero Vaca]],Fichas[#All],2,FALSE)</f>
        <v>ORIANA</v>
      </c>
      <c r="F29" s="177" t="s">
        <v>24</v>
      </c>
      <c r="G29" s="177"/>
      <c r="H29" s="178">
        <f t="shared" ca="1" si="0"/>
        <v>39.233333333333334</v>
      </c>
      <c r="I29" s="177"/>
      <c r="J29" s="177"/>
    </row>
    <row r="30" spans="1:11" x14ac:dyDescent="0.25">
      <c r="A30" s="179" t="s">
        <v>470</v>
      </c>
      <c r="B30" s="179" t="s">
        <v>388</v>
      </c>
      <c r="C30" s="180">
        <v>44948</v>
      </c>
      <c r="D30" s="179" t="s">
        <v>190</v>
      </c>
      <c r="E30" s="177" t="str">
        <f>VLOOKUP(Partos[[#This Row],[Numero Vaca]],Fichas[#All],2,FALSE)</f>
        <v>LA YEGUA</v>
      </c>
      <c r="F30" s="177" t="s">
        <v>24</v>
      </c>
      <c r="G30" s="177">
        <v>37</v>
      </c>
      <c r="H30" s="178">
        <f t="shared" ca="1" si="0"/>
        <v>37.966666666666669</v>
      </c>
      <c r="I30" s="181"/>
      <c r="J30" s="181"/>
    </row>
    <row r="31" spans="1:11" x14ac:dyDescent="0.25">
      <c r="A31" s="179" t="s">
        <v>369</v>
      </c>
      <c r="B31" s="179" t="str">
        <f>CONCATENATE(RIGHT(YEAR(C31),2),Partos[[#This Row],[Columna1]])</f>
        <v>23023</v>
      </c>
      <c r="C31" s="180">
        <v>45006</v>
      </c>
      <c r="D31" s="179" t="s">
        <v>185</v>
      </c>
      <c r="E31" s="177" t="str">
        <f>VLOOKUP(Partos[[#This Row],[Numero Vaca]],Fichas[#All],2,FALSE)</f>
        <v>LUNA</v>
      </c>
      <c r="F31" s="177" t="s">
        <v>218</v>
      </c>
      <c r="G31" s="177">
        <v>20</v>
      </c>
      <c r="H31" s="178">
        <f t="shared" ca="1" si="0"/>
        <v>36.033333333333331</v>
      </c>
      <c r="I31" s="181"/>
      <c r="J31" s="181"/>
    </row>
    <row r="32" spans="1:11" x14ac:dyDescent="0.25">
      <c r="A32" s="179" t="s">
        <v>478</v>
      </c>
      <c r="B32" s="179" t="s">
        <v>389</v>
      </c>
      <c r="C32" s="180">
        <v>44955</v>
      </c>
      <c r="D32" s="179" t="s">
        <v>187</v>
      </c>
      <c r="E32" s="177" t="str">
        <f>VLOOKUP(Partos[[#This Row],[Numero Vaca]],Fichas[#All],2,FALSE)</f>
        <v>CONEJA</v>
      </c>
      <c r="F32" s="177" t="s">
        <v>24</v>
      </c>
      <c r="G32" s="177"/>
      <c r="H32" s="178">
        <f t="shared" ca="1" si="0"/>
        <v>37.733333333333334</v>
      </c>
      <c r="I32" s="181"/>
      <c r="J32" s="181"/>
    </row>
    <row r="33" spans="1:10" x14ac:dyDescent="0.25">
      <c r="A33" s="179" t="s">
        <v>370</v>
      </c>
      <c r="B33" s="179" t="str">
        <f>CONCATENATE(RIGHT(YEAR(C33),2),Partos[[#This Row],[Columna1]])</f>
        <v>23024</v>
      </c>
      <c r="C33" s="180">
        <v>45024</v>
      </c>
      <c r="D33" s="179" t="s">
        <v>186</v>
      </c>
      <c r="E33" s="177" t="str">
        <f>VLOOKUP(Partos[[#This Row],[Numero Vaca]],Fichas[#All],2,FALSE)</f>
        <v>COMIENZO</v>
      </c>
      <c r="F33" s="177" t="s">
        <v>24</v>
      </c>
      <c r="G33" s="177"/>
      <c r="H33" s="178">
        <f t="shared" ca="1" si="0"/>
        <v>35.43333333333333</v>
      </c>
      <c r="I33" s="177"/>
      <c r="J33" s="177"/>
    </row>
    <row r="34" spans="1:10" x14ac:dyDescent="0.25">
      <c r="A34" s="179" t="s">
        <v>371</v>
      </c>
      <c r="B34" s="179" t="str">
        <f>CONCATENATE(RIGHT(YEAR(C34),2),Partos[[#This Row],[Columna1]])</f>
        <v>23025</v>
      </c>
      <c r="C34" s="180">
        <v>45061</v>
      </c>
      <c r="D34" s="179" t="s">
        <v>184</v>
      </c>
      <c r="E34" s="177" t="str">
        <f>VLOOKUP(Partos[[#This Row],[Numero Vaca]],Fichas[#All],2,FALSE)</f>
        <v>MARIANA</v>
      </c>
      <c r="F34" s="177" t="s">
        <v>24</v>
      </c>
      <c r="G34" s="177"/>
      <c r="H34" s="178">
        <f t="shared" ca="1" si="0"/>
        <v>34.200000000000003</v>
      </c>
      <c r="I34" s="181"/>
      <c r="J34" s="181"/>
    </row>
    <row r="35" spans="1:10" x14ac:dyDescent="0.25">
      <c r="A35" s="179" t="s">
        <v>372</v>
      </c>
      <c r="B35" s="179" t="str">
        <f>CONCATENATE(RIGHT(YEAR(C35),2),Partos[[#This Row],[Columna1]])</f>
        <v>23026</v>
      </c>
      <c r="C35" s="180">
        <v>45095</v>
      </c>
      <c r="D35" s="179" t="s">
        <v>193</v>
      </c>
      <c r="E35" s="177" t="str">
        <f>VLOOKUP(Partos[[#This Row],[Numero Vaca]],Fichas[#All],2,FALSE)</f>
        <v>ESTRELLA</v>
      </c>
      <c r="F35" s="177" t="s">
        <v>23</v>
      </c>
      <c r="G35" s="177"/>
      <c r="H35" s="178">
        <f t="shared" ca="1" si="0"/>
        <v>33.06666666666667</v>
      </c>
      <c r="I35" s="177"/>
      <c r="J35" s="177"/>
    </row>
    <row r="36" spans="1:10" x14ac:dyDescent="0.25">
      <c r="A36" s="179" t="s">
        <v>373</v>
      </c>
      <c r="B36" s="179" t="str">
        <f>CONCATENATE(RIGHT(YEAR(C36),2),Partos[[#This Row],[Columna1]])</f>
        <v>23027</v>
      </c>
      <c r="C36" s="180">
        <v>45120</v>
      </c>
      <c r="D36" s="179" t="s">
        <v>304</v>
      </c>
      <c r="E36" s="177" t="str">
        <f>VLOOKUP(Partos[[#This Row],[Numero Vaca]],Fichas[#All],2,FALSE)</f>
        <v>Morena</v>
      </c>
      <c r="F36" s="177" t="s">
        <v>24</v>
      </c>
      <c r="G36" s="177"/>
      <c r="H36" s="178">
        <f t="shared" ca="1" si="0"/>
        <v>32.233333333333334</v>
      </c>
      <c r="I36" s="181"/>
      <c r="J36" s="181"/>
    </row>
    <row r="37" spans="1:10" x14ac:dyDescent="0.25">
      <c r="A37" s="179" t="s">
        <v>374</v>
      </c>
      <c r="B37" s="179" t="str">
        <f>CONCATENATE(RIGHT(YEAR(C37),2),Partos[[#This Row],[Columna1]])</f>
        <v>23028</v>
      </c>
      <c r="C37" s="180">
        <v>45126</v>
      </c>
      <c r="D37" s="179" t="s">
        <v>306</v>
      </c>
      <c r="E37" s="177" t="str">
        <f>VLOOKUP(Partos[[#This Row],[Numero Vaca]],Fichas[#All],2,FALSE)</f>
        <v>TONCHA</v>
      </c>
      <c r="F37" s="177" t="s">
        <v>23</v>
      </c>
      <c r="G37" s="177"/>
      <c r="H37" s="178">
        <f t="shared" ca="1" si="0"/>
        <v>32.033333333333331</v>
      </c>
      <c r="I37" s="177"/>
      <c r="J37" s="177"/>
    </row>
    <row r="38" spans="1:10" x14ac:dyDescent="0.25">
      <c r="A38" s="179" t="s">
        <v>375</v>
      </c>
      <c r="B38" s="179" t="str">
        <f>CONCATENATE(RIGHT(YEAR(C38),2),Partos[[#This Row],[Columna1]])</f>
        <v>23029</v>
      </c>
      <c r="C38" s="180">
        <v>45145</v>
      </c>
      <c r="D38" s="179" t="s">
        <v>114</v>
      </c>
      <c r="E38" s="177" t="str">
        <f>VLOOKUP(Partos[[#This Row],[Numero Vaca]],Fichas[#All],2,FALSE)</f>
        <v>Yolimar</v>
      </c>
      <c r="F38" s="177" t="s">
        <v>23</v>
      </c>
      <c r="G38" s="177"/>
      <c r="H38" s="178">
        <f t="shared" ca="1" si="0"/>
        <v>31.4</v>
      </c>
      <c r="I38" s="181"/>
      <c r="J38" s="181"/>
    </row>
    <row r="39" spans="1:10" x14ac:dyDescent="0.25">
      <c r="A39" s="179" t="s">
        <v>376</v>
      </c>
      <c r="B39" s="179" t="str">
        <f>CONCATENATE(RIGHT(YEAR(C39),2),Partos[[#This Row],[Columna1]])</f>
        <v>23030</v>
      </c>
      <c r="C39" s="180">
        <v>45219</v>
      </c>
      <c r="D39" s="179" t="s">
        <v>113</v>
      </c>
      <c r="E39" s="177" t="str">
        <f>VLOOKUP(Partos[[#This Row],[Numero Vaca]],Fichas[#All],2,FALSE)</f>
        <v>Maria Jose</v>
      </c>
      <c r="F39" s="177" t="s">
        <v>24</v>
      </c>
      <c r="G39" s="177">
        <v>40</v>
      </c>
      <c r="H39" s="178">
        <f t="shared" ca="1" si="0"/>
        <v>28.933333333333334</v>
      </c>
      <c r="I39" s="177"/>
      <c r="J39" s="177"/>
    </row>
    <row r="40" spans="1:10" x14ac:dyDescent="0.25">
      <c r="A40" s="179" t="s">
        <v>377</v>
      </c>
      <c r="B40" s="179" t="str">
        <f>CONCATENATE(RIGHT(YEAR(C40),2),Partos[[#This Row],[Columna1]])</f>
        <v>23031</v>
      </c>
      <c r="C40" s="180">
        <v>45220</v>
      </c>
      <c r="D40" s="179" t="s">
        <v>309</v>
      </c>
      <c r="E40" s="177" t="str">
        <f>VLOOKUP(Partos[[#This Row],[Numero Vaca]],Fichas[#All],2,FALSE)</f>
        <v>La Negra</v>
      </c>
      <c r="F40" s="177" t="s">
        <v>23</v>
      </c>
      <c r="G40" s="177">
        <v>29</v>
      </c>
      <c r="H40" s="178">
        <f t="shared" ca="1" si="0"/>
        <v>28.9</v>
      </c>
      <c r="I40" s="181"/>
      <c r="J40" s="181"/>
    </row>
    <row r="41" spans="1:10" x14ac:dyDescent="0.25">
      <c r="A41" s="179" t="s">
        <v>459</v>
      </c>
      <c r="B41" s="179" t="str">
        <f>CONCATENATE(RIGHT(YEAR(C41),2),Partos[[#This Row],[Columna1]])</f>
        <v>23032</v>
      </c>
      <c r="C41" s="180">
        <v>45238</v>
      </c>
      <c r="D41" s="179" t="s">
        <v>196</v>
      </c>
      <c r="E41" s="181" t="str">
        <f>VLOOKUP(Partos[[#This Row],[Numero Vaca]],Fichas[#All],2,FALSE)</f>
        <v>TRANCO LARGO</v>
      </c>
      <c r="F41" s="177" t="s">
        <v>23</v>
      </c>
      <c r="G41" s="177"/>
      <c r="H41" s="178">
        <f t="shared" ca="1" si="0"/>
        <v>28.3</v>
      </c>
      <c r="I41" s="181"/>
      <c r="J41" s="181"/>
    </row>
    <row r="42" spans="1:10" x14ac:dyDescent="0.25">
      <c r="A42" s="179" t="s">
        <v>462</v>
      </c>
      <c r="B42" s="179" t="str">
        <f>CONCATENATE(RIGHT(YEAR(C42),2),Partos[[#This Row],[Columna1]])</f>
        <v>23033</v>
      </c>
      <c r="C42" s="180">
        <v>45240</v>
      </c>
      <c r="D42" s="179" t="s">
        <v>378</v>
      </c>
      <c r="E42" s="181" t="str">
        <f>VLOOKUP(Partos[[#This Row],[Numero Vaca]],Fichas[#All],2,FALSE)</f>
        <v>Esperanza</v>
      </c>
      <c r="F42" s="177" t="s">
        <v>24</v>
      </c>
      <c r="G42" s="177"/>
      <c r="H42" s="178">
        <f t="shared" ca="1" si="0"/>
        <v>28.233333333333334</v>
      </c>
      <c r="I42" s="181"/>
      <c r="J42" s="181"/>
    </row>
    <row r="43" spans="1:10" x14ac:dyDescent="0.25">
      <c r="A43" s="179" t="s">
        <v>463</v>
      </c>
      <c r="B43" s="179" t="str">
        <f>CONCATENATE(RIGHT(YEAR(C43),2),Partos[[#This Row],[Columna1]])</f>
        <v>23034</v>
      </c>
      <c r="C43" s="180">
        <v>45270</v>
      </c>
      <c r="D43" s="179" t="s">
        <v>190</v>
      </c>
      <c r="E43" s="181" t="str">
        <f>VLOOKUP(Partos[[#This Row],[Numero Vaca]],Fichas[#All],2,FALSE)</f>
        <v>LA YEGUA</v>
      </c>
      <c r="F43" s="177" t="s">
        <v>23</v>
      </c>
      <c r="G43" s="177">
        <v>35.14</v>
      </c>
      <c r="H43" s="178">
        <f t="shared" ca="1" si="0"/>
        <v>27.233333333333334</v>
      </c>
      <c r="I43" s="181"/>
      <c r="J43" s="181"/>
    </row>
    <row r="44" spans="1:10" x14ac:dyDescent="0.25">
      <c r="A44" s="179" t="s">
        <v>497</v>
      </c>
      <c r="B44" s="179" t="str">
        <f>CONCATENATE(RIGHT(YEAR(C44),2),Partos[[#This Row],[Columna1]])</f>
        <v>23035</v>
      </c>
      <c r="C44" s="180">
        <v>45284</v>
      </c>
      <c r="D44" s="179" t="s">
        <v>195</v>
      </c>
      <c r="E44" s="181" t="str">
        <f>VLOOKUP(Partos[[#This Row],[Numero Vaca]],Fichas[#All],2,FALSE)</f>
        <v>VENAITA</v>
      </c>
      <c r="F44" s="177" t="s">
        <v>23</v>
      </c>
      <c r="G44" s="177">
        <v>35.299999999999997</v>
      </c>
      <c r="H44" s="178">
        <f t="shared" ref="H44:H49" ca="1" si="1">(TODAY()-C44)/30</f>
        <v>26.766666666666666</v>
      </c>
      <c r="I44" s="181"/>
      <c r="J44" s="181"/>
    </row>
    <row r="45" spans="1:10" x14ac:dyDescent="0.25">
      <c r="A45" s="179" t="s">
        <v>511</v>
      </c>
      <c r="B45" s="179" t="str">
        <f>CONCATENATE(RIGHT(YEAR(C45),2),Partos[[#This Row],[Columna1]])</f>
        <v>24036</v>
      </c>
      <c r="C45" s="180">
        <v>45303</v>
      </c>
      <c r="D45" s="179" t="s">
        <v>191</v>
      </c>
      <c r="E45" s="181" t="str">
        <f>VLOOKUP(Partos[[#This Row],[Numero Vaca]],Fichas[#All],2,FALSE)</f>
        <v>OJOS NEGROS</v>
      </c>
      <c r="F45" s="177" t="s">
        <v>23</v>
      </c>
      <c r="G45" s="177">
        <v>35.5</v>
      </c>
      <c r="H45" s="178">
        <f t="shared" ca="1" si="1"/>
        <v>26.133333333333333</v>
      </c>
      <c r="I45" s="181"/>
      <c r="J45" s="181"/>
    </row>
    <row r="46" spans="1:10" x14ac:dyDescent="0.25">
      <c r="A46" s="179" t="s">
        <v>512</v>
      </c>
      <c r="B46" s="179" t="str">
        <f>CONCATENATE(RIGHT(YEAR(C46),2),Partos[[#This Row],[Columna1]])</f>
        <v>24037</v>
      </c>
      <c r="C46" s="180">
        <v>45310</v>
      </c>
      <c r="D46" s="179" t="s">
        <v>187</v>
      </c>
      <c r="E46" s="181" t="str">
        <f>VLOOKUP(Partos[[#This Row],[Numero Vaca]],Fichas[#All],2,FALSE)</f>
        <v>CONEJA</v>
      </c>
      <c r="F46" s="177" t="s">
        <v>24</v>
      </c>
      <c r="G46" s="177">
        <v>34</v>
      </c>
      <c r="H46" s="178">
        <f t="shared" ca="1" si="1"/>
        <v>25.9</v>
      </c>
      <c r="I46" s="181"/>
      <c r="J46" s="181"/>
    </row>
    <row r="47" spans="1:10" x14ac:dyDescent="0.25">
      <c r="A47" s="179" t="s">
        <v>528</v>
      </c>
      <c r="B47" s="179" t="str">
        <f>CONCATENATE(RIGHT(YEAR(C47),2),Partos[[#This Row],[Columna1]])</f>
        <v>24038</v>
      </c>
      <c r="C47" s="180">
        <v>45328</v>
      </c>
      <c r="D47" s="285" t="s">
        <v>194</v>
      </c>
      <c r="E47" s="181" t="str">
        <f>VLOOKUP(Partos[[#This Row],[Numero Vaca]],Fichas[#All],2,FALSE)</f>
        <v>PARDA</v>
      </c>
      <c r="F47" s="177" t="s">
        <v>23</v>
      </c>
      <c r="G47" s="177">
        <v>31</v>
      </c>
      <c r="H47" s="178">
        <f t="shared" ca="1" si="1"/>
        <v>25.3</v>
      </c>
      <c r="I47" s="181"/>
      <c r="J47" s="180"/>
    </row>
    <row r="48" spans="1:10" x14ac:dyDescent="0.25">
      <c r="A48" s="179" t="s">
        <v>535</v>
      </c>
      <c r="B48" s="179" t="str">
        <f>CONCATENATE(RIGHT(YEAR(C48),2),Partos[[#This Row],[Columna1]])</f>
        <v>24039</v>
      </c>
      <c r="C48" s="180">
        <v>45336</v>
      </c>
      <c r="D48" s="255" t="s">
        <v>192</v>
      </c>
      <c r="E48" s="181" t="str">
        <f>VLOOKUP(Partos[[#This Row],[Numero Vaca]],Fichas[#All],2,FALSE)</f>
        <v>ORIANA</v>
      </c>
      <c r="F48" s="177" t="s">
        <v>23</v>
      </c>
      <c r="G48" s="177">
        <v>31</v>
      </c>
      <c r="H48" s="178">
        <f t="shared" ca="1" si="1"/>
        <v>25.033333333333335</v>
      </c>
      <c r="I48" s="181"/>
      <c r="J48" s="180"/>
    </row>
    <row r="49" spans="1:10" x14ac:dyDescent="0.25">
      <c r="A49" s="179" t="s">
        <v>543</v>
      </c>
      <c r="B49" s="179" t="str">
        <f>CONCATENATE(RIGHT(YEAR(C49),2),Partos[[#This Row],[Columna1]])</f>
        <v>24040</v>
      </c>
      <c r="C49" s="180">
        <v>45348</v>
      </c>
      <c r="D49" s="255" t="s">
        <v>379</v>
      </c>
      <c r="E49" s="181" t="str">
        <f>VLOOKUP(Partos[[#This Row],[Numero Vaca]],Fichas[#All],2,FALSE)</f>
        <v>Carapachita</v>
      </c>
      <c r="F49" s="177" t="s">
        <v>23</v>
      </c>
      <c r="G49" s="177"/>
      <c r="H49" s="178">
        <f t="shared" ca="1" si="1"/>
        <v>24.633333333333333</v>
      </c>
      <c r="I49" s="181"/>
      <c r="J49" s="180" t="s">
        <v>570</v>
      </c>
    </row>
    <row r="50" spans="1:10" x14ac:dyDescent="0.25">
      <c r="A50" s="179" t="s">
        <v>562</v>
      </c>
      <c r="B50" s="179" t="str">
        <f>CONCATENATE(RIGHT(YEAR(C50),2),Partos[[#This Row],[Columna1]])</f>
        <v>24041</v>
      </c>
      <c r="C50" s="180">
        <v>45362</v>
      </c>
      <c r="D50" s="255" t="s">
        <v>185</v>
      </c>
      <c r="E50" s="181" t="str">
        <f>VLOOKUP(Partos[[#This Row],[Numero Vaca]],Fichas[#All],2,FALSE)</f>
        <v>LUNA</v>
      </c>
      <c r="F50" s="177" t="s">
        <v>23</v>
      </c>
      <c r="G50" s="177"/>
      <c r="H50" s="178">
        <f t="shared" ref="H50:H55" ca="1" si="2">(TODAY()-C50)/30</f>
        <v>24.166666666666668</v>
      </c>
      <c r="I50" s="181"/>
      <c r="J50" s="180"/>
    </row>
    <row r="51" spans="1:10" x14ac:dyDescent="0.25">
      <c r="A51" s="179" t="s">
        <v>589</v>
      </c>
      <c r="B51" s="179" t="str">
        <f>CONCATENATE(RIGHT(YEAR(C51),2),Partos[[#This Row],[Columna1]])</f>
        <v>24042</v>
      </c>
      <c r="C51" s="180">
        <v>45484</v>
      </c>
      <c r="D51" s="255" t="s">
        <v>380</v>
      </c>
      <c r="E51" s="181" t="str">
        <f>VLOOKUP(Partos[[#This Row],[Numero Vaca]],Fichas[#All],2,FALSE)</f>
        <v>Blanquita2</v>
      </c>
      <c r="F51" s="177" t="s">
        <v>23</v>
      </c>
      <c r="G51" s="177">
        <v>29</v>
      </c>
      <c r="H51" s="178">
        <f t="shared" ca="1" si="2"/>
        <v>20.100000000000001</v>
      </c>
      <c r="I51" s="181"/>
      <c r="J51" s="180"/>
    </row>
    <row r="52" spans="1:10" x14ac:dyDescent="0.25">
      <c r="A52" s="179" t="s">
        <v>597</v>
      </c>
      <c r="B52" s="179" t="str">
        <f>CONCATENATE(RIGHT(YEAR(C52),2),Partos[[#This Row],[Columna1]])</f>
        <v>24043</v>
      </c>
      <c r="C52" s="534">
        <v>45549</v>
      </c>
      <c r="D52" s="255" t="s">
        <v>457</v>
      </c>
      <c r="E52" s="181" t="str">
        <f>VLOOKUP(Partos[[#This Row],[Numero Vaca]],Fichas[#All],2,FALSE)</f>
        <v>Patanemo Cordero</v>
      </c>
      <c r="F52" s="177" t="s">
        <v>23</v>
      </c>
      <c r="G52" s="177"/>
      <c r="H52" s="178">
        <f t="shared" ca="1" si="2"/>
        <v>17.933333333333334</v>
      </c>
      <c r="I52" s="181"/>
      <c r="J52" s="180"/>
    </row>
    <row r="53" spans="1:10" x14ac:dyDescent="0.25">
      <c r="A53" s="179" t="s">
        <v>604</v>
      </c>
      <c r="B53" s="179" t="str">
        <f>CONCATENATE(RIGHT(YEAR(C53),2),Partos[[#This Row],[Columna1]])</f>
        <v>24044</v>
      </c>
      <c r="C53" s="180">
        <v>45586</v>
      </c>
      <c r="D53" s="255" t="s">
        <v>196</v>
      </c>
      <c r="E53" s="181" t="str">
        <f>VLOOKUP(Partos[[#This Row],[Numero Vaca]],Fichas[#All],2,FALSE)</f>
        <v>TRANCO LARGO</v>
      </c>
      <c r="F53" s="177" t="s">
        <v>23</v>
      </c>
      <c r="G53" s="177">
        <v>46</v>
      </c>
      <c r="H53" s="178">
        <f t="shared" ca="1" si="2"/>
        <v>16.7</v>
      </c>
      <c r="I53" s="181"/>
      <c r="J53" s="180"/>
    </row>
    <row r="54" spans="1:10" x14ac:dyDescent="0.25">
      <c r="A54" s="179" t="s">
        <v>608</v>
      </c>
      <c r="B54" s="179" t="str">
        <f>CONCATENATE(RIGHT(YEAR(C54),2),Partos[[#This Row],[Columna1]])</f>
        <v>24045</v>
      </c>
      <c r="C54" s="180">
        <v>45596</v>
      </c>
      <c r="D54" s="255" t="s">
        <v>378</v>
      </c>
      <c r="E54" s="181" t="str">
        <f>VLOOKUP(Partos[[#This Row],[Numero Vaca]],Fichas[#All],2,FALSE)</f>
        <v>Esperanza</v>
      </c>
      <c r="F54" s="177" t="s">
        <v>23</v>
      </c>
      <c r="G54" s="177">
        <v>32</v>
      </c>
      <c r="H54" s="178">
        <f t="shared" ca="1" si="2"/>
        <v>16.366666666666667</v>
      </c>
      <c r="I54" s="181"/>
      <c r="J54" s="180"/>
    </row>
    <row r="55" spans="1:10" x14ac:dyDescent="0.25">
      <c r="A55" s="179" t="s">
        <v>611</v>
      </c>
      <c r="B55" s="179" t="str">
        <f>CONCATENATE(RIGHT(YEAR(C55),2),Partos[[#This Row],[Columna1]])</f>
        <v>24046</v>
      </c>
      <c r="C55" s="180">
        <v>45600</v>
      </c>
      <c r="D55" s="255" t="s">
        <v>184</v>
      </c>
      <c r="E55" s="181" t="str">
        <f>VLOOKUP(Partos[[#This Row],[Numero Vaca]],Fichas[#All],2,FALSE)</f>
        <v>MARIANA</v>
      </c>
      <c r="F55" s="177" t="s">
        <v>23</v>
      </c>
      <c r="G55" s="177">
        <v>30</v>
      </c>
      <c r="H55" s="178">
        <f t="shared" ca="1" si="2"/>
        <v>16.233333333333334</v>
      </c>
      <c r="I55" s="181"/>
      <c r="J55" s="180"/>
    </row>
    <row r="56" spans="1:10" x14ac:dyDescent="0.25">
      <c r="A56" s="179" t="s">
        <v>614</v>
      </c>
      <c r="B56" s="179" t="str">
        <f>CONCATENATE(RIGHT(YEAR(C56),2),Partos[[#This Row],[Columna1]])</f>
        <v>24047</v>
      </c>
      <c r="C56" s="180">
        <v>45626</v>
      </c>
      <c r="D56" s="255" t="s">
        <v>194</v>
      </c>
      <c r="E56" s="181" t="str">
        <f>VLOOKUP(Partos[[#This Row],[Numero Vaca]],Fichas[#All],2,FALSE)</f>
        <v>PARDA</v>
      </c>
      <c r="F56" s="177" t="s">
        <v>23</v>
      </c>
      <c r="G56" s="177">
        <v>22</v>
      </c>
      <c r="H56" s="178">
        <f t="shared" ref="H56:H61" ca="1" si="3">(TODAY()-C56)/30</f>
        <v>15.366666666666667</v>
      </c>
      <c r="I56" s="181"/>
      <c r="J56" s="180"/>
    </row>
    <row r="57" spans="1:10" x14ac:dyDescent="0.25">
      <c r="A57" s="179" t="s">
        <v>615</v>
      </c>
      <c r="B57" s="179" t="str">
        <f>CONCATENATE(RIGHT(YEAR(C57),2),Partos[[#This Row],[Columna1]])</f>
        <v>24048</v>
      </c>
      <c r="C57" s="180">
        <v>45628</v>
      </c>
      <c r="D57" s="255" t="s">
        <v>190</v>
      </c>
      <c r="E57" s="181" t="str">
        <f>VLOOKUP(Partos[[#This Row],[Numero Vaca]],Fichas[#All],2,FALSE)</f>
        <v>LA YEGUA</v>
      </c>
      <c r="F57" s="177" t="s">
        <v>23</v>
      </c>
      <c r="G57" s="177">
        <v>25</v>
      </c>
      <c r="H57" s="178">
        <f t="shared" ca="1" si="3"/>
        <v>15.3</v>
      </c>
      <c r="I57" s="181"/>
      <c r="J57" s="180"/>
    </row>
    <row r="58" spans="1:10" x14ac:dyDescent="0.25">
      <c r="A58" s="179" t="s">
        <v>621</v>
      </c>
      <c r="B58" s="179" t="str">
        <f>CONCATENATE(RIGHT(YEAR(C58),2),Partos[[#This Row],[Columna1]])</f>
        <v>24049</v>
      </c>
      <c r="C58" s="180">
        <v>45638</v>
      </c>
      <c r="D58" s="255" t="s">
        <v>309</v>
      </c>
      <c r="E58" s="181" t="str">
        <f>VLOOKUP(Partos[[#This Row],[Numero Vaca]],Fichas[#All],2,FALSE)</f>
        <v>La Negra</v>
      </c>
      <c r="F58" s="177" t="s">
        <v>23</v>
      </c>
      <c r="G58" s="177"/>
      <c r="H58" s="178">
        <f t="shared" ca="1" si="3"/>
        <v>14.966666666666667</v>
      </c>
      <c r="I58" s="181"/>
      <c r="J58" s="180"/>
    </row>
    <row r="59" spans="1:10" x14ac:dyDescent="0.25">
      <c r="A59" s="179" t="s">
        <v>626</v>
      </c>
      <c r="B59" s="179" t="str">
        <f>CONCATENATE(RIGHT(YEAR(C59),2),Partos[[#This Row],[Columna1]])</f>
        <v>24050</v>
      </c>
      <c r="C59" s="180">
        <v>45649</v>
      </c>
      <c r="D59" s="255" t="s">
        <v>304</v>
      </c>
      <c r="E59" s="181" t="str">
        <f>VLOOKUP(Partos[[#This Row],[Numero Vaca]],Fichas[#All],2,FALSE)</f>
        <v>Morena</v>
      </c>
      <c r="F59" s="177" t="s">
        <v>24</v>
      </c>
      <c r="G59" s="177"/>
      <c r="H59" s="178">
        <f t="shared" ca="1" si="3"/>
        <v>14.6</v>
      </c>
      <c r="I59" s="181"/>
      <c r="J59" s="180"/>
    </row>
    <row r="60" spans="1:10" x14ac:dyDescent="0.25">
      <c r="A60" s="179" t="s">
        <v>627</v>
      </c>
      <c r="B60" s="179" t="str">
        <f>CONCATENATE(RIGHT(YEAR(C60),2),Partos[[#This Row],[Columna1]])</f>
        <v>24051</v>
      </c>
      <c r="C60" s="180">
        <v>45649</v>
      </c>
      <c r="D60" s="255" t="s">
        <v>191</v>
      </c>
      <c r="E60" s="181" t="str">
        <f>VLOOKUP(Partos[[#This Row],[Numero Vaca]],Fichas[#All],2,FALSE)</f>
        <v>OJOS NEGROS</v>
      </c>
      <c r="F60" s="177" t="s">
        <v>24</v>
      </c>
      <c r="G60" s="177"/>
      <c r="H60" s="178">
        <f t="shared" ca="1" si="3"/>
        <v>14.6</v>
      </c>
      <c r="I60" s="181"/>
      <c r="J60" s="180"/>
    </row>
    <row r="61" spans="1:10" x14ac:dyDescent="0.25">
      <c r="A61" s="179" t="s">
        <v>634</v>
      </c>
      <c r="B61" s="179" t="str">
        <f>CONCATENATE(RIGHT(YEAR(C61),2),Partos[[#This Row],[Columna1]])</f>
        <v>25052</v>
      </c>
      <c r="C61" s="180">
        <v>45678</v>
      </c>
      <c r="D61" s="255" t="s">
        <v>113</v>
      </c>
      <c r="E61" s="181" t="str">
        <f>VLOOKUP(Partos[[#This Row],[Numero Vaca]],Fichas[#All],2,FALSE)</f>
        <v>Maria Jose</v>
      </c>
      <c r="F61" s="177" t="s">
        <v>24</v>
      </c>
      <c r="G61" s="177"/>
      <c r="H61" s="178">
        <f t="shared" ca="1" si="3"/>
        <v>13.633333333333333</v>
      </c>
      <c r="I61" s="181"/>
      <c r="J61" s="180"/>
    </row>
    <row r="62" spans="1:10" x14ac:dyDescent="0.25">
      <c r="A62" s="179" t="s">
        <v>637</v>
      </c>
      <c r="B62" s="179" t="str">
        <f>CONCATENATE(RIGHT(YEAR(C62),2),Partos[[#This Row],[Columna1]])</f>
        <v>25053</v>
      </c>
      <c r="C62" s="180">
        <v>45684</v>
      </c>
      <c r="D62" s="255" t="s">
        <v>379</v>
      </c>
      <c r="E62" s="181" t="str">
        <f>VLOOKUP(Partos[[#This Row],[Numero Vaca]],Fichas[#All],2,FALSE)</f>
        <v>Carapachita</v>
      </c>
      <c r="F62" s="177" t="s">
        <v>24</v>
      </c>
      <c r="G62" s="177"/>
      <c r="H62" s="178">
        <f t="shared" ref="H62:H67" ca="1" si="4">(TODAY()-C62)/30</f>
        <v>13.433333333333334</v>
      </c>
      <c r="I62" s="181"/>
      <c r="J62" s="180"/>
    </row>
    <row r="63" spans="1:10" x14ac:dyDescent="0.25">
      <c r="A63" s="179" t="s">
        <v>648</v>
      </c>
      <c r="B63" s="179" t="str">
        <f>CONCATENATE(RIGHT(YEAR(C63),2),Partos[[#This Row],[Columna1]])</f>
        <v>25054</v>
      </c>
      <c r="C63" s="180">
        <v>45740</v>
      </c>
      <c r="D63" s="255" t="s">
        <v>185</v>
      </c>
      <c r="E63" s="181" t="str">
        <f>VLOOKUP(Partos[[#This Row],[Numero Vaca]],Fichas[#All],2,FALSE)</f>
        <v>LUNA</v>
      </c>
      <c r="F63" s="177" t="s">
        <v>24</v>
      </c>
      <c r="G63" s="177">
        <v>24</v>
      </c>
      <c r="H63" s="178">
        <f t="shared" ca="1" si="4"/>
        <v>11.566666666666666</v>
      </c>
      <c r="I63" s="181"/>
      <c r="J63" s="180"/>
    </row>
    <row r="64" spans="1:10" x14ac:dyDescent="0.25">
      <c r="A64" s="179" t="s">
        <v>675</v>
      </c>
      <c r="B64" s="179" t="str">
        <f>CONCATENATE(RIGHT(YEAR(C64),2),Partos[[#This Row],[Columna1]])</f>
        <v>25055</v>
      </c>
      <c r="C64" s="180">
        <v>45667</v>
      </c>
      <c r="D64" s="255" t="s">
        <v>683</v>
      </c>
      <c r="E64" s="181" t="str">
        <f>VLOOKUP(Partos[[#This Row],[Numero Vaca]],Fichas[#All],2,FALSE)</f>
        <v>Adriana Barreto</v>
      </c>
      <c r="F64" s="177" t="s">
        <v>24</v>
      </c>
      <c r="G64" s="177"/>
      <c r="H64" s="178">
        <f t="shared" ca="1" si="4"/>
        <v>14</v>
      </c>
      <c r="I64" s="181"/>
      <c r="J64" s="180" t="s">
        <v>95</v>
      </c>
    </row>
    <row r="65" spans="1:10" x14ac:dyDescent="0.25">
      <c r="A65" s="179" t="s">
        <v>676</v>
      </c>
      <c r="B65" s="179" t="str">
        <f>CONCATENATE(RIGHT(YEAR(C65),2),Partos[[#This Row],[Columna1]])</f>
        <v>25056</v>
      </c>
      <c r="C65" s="180">
        <v>45750</v>
      </c>
      <c r="D65" s="255" t="s">
        <v>671</v>
      </c>
      <c r="E65" s="181" t="str">
        <f>VLOOKUP(Partos[[#This Row],[Numero Vaca]],Fichas[#All],2,FALSE)</f>
        <v>Paola Barreto</v>
      </c>
      <c r="F65" s="177" t="s">
        <v>24</v>
      </c>
      <c r="G65" s="177"/>
      <c r="H65" s="178">
        <f t="shared" ca="1" si="4"/>
        <v>11.233333333333333</v>
      </c>
      <c r="I65" s="181"/>
      <c r="J65" s="180" t="s">
        <v>95</v>
      </c>
    </row>
    <row r="66" spans="1:10" x14ac:dyDescent="0.25">
      <c r="A66" s="179" t="s">
        <v>677</v>
      </c>
      <c r="B66" s="179" t="str">
        <f>CONCATENATE(RIGHT(YEAR(C66),2),Partos[[#This Row],[Columna1]])</f>
        <v>25057</v>
      </c>
      <c r="C66" s="180">
        <v>45758</v>
      </c>
      <c r="D66" s="255" t="s">
        <v>670</v>
      </c>
      <c r="E66" s="181" t="str">
        <f>VLOOKUP(Partos[[#This Row],[Numero Vaca]],Fichas[#All],2,FALSE)</f>
        <v>Angelica Barreto</v>
      </c>
      <c r="F66" s="177" t="s">
        <v>23</v>
      </c>
      <c r="G66" s="177"/>
      <c r="H66" s="178">
        <f t="shared" ca="1" si="4"/>
        <v>10.966666666666667</v>
      </c>
      <c r="I66" s="181"/>
      <c r="J66" s="180" t="s">
        <v>95</v>
      </c>
    </row>
    <row r="67" spans="1:10" x14ac:dyDescent="0.25">
      <c r="A67" s="179" t="s">
        <v>678</v>
      </c>
      <c r="B67" s="179" t="str">
        <f>CONCATENATE(RIGHT(YEAR(C67),2),Partos[[#This Row],[Columna1]])</f>
        <v>25058</v>
      </c>
      <c r="C67" s="180">
        <v>45775</v>
      </c>
      <c r="D67" s="255" t="s">
        <v>673</v>
      </c>
      <c r="E67" s="181" t="str">
        <f>VLOOKUP(Partos[[#This Row],[Numero Vaca]],Fichas[#All],2,FALSE)</f>
        <v>PEINETA Barreto</v>
      </c>
      <c r="F67" s="177" t="s">
        <v>23</v>
      </c>
      <c r="G67" s="177"/>
      <c r="H67" s="178">
        <f t="shared" ca="1" si="4"/>
        <v>10.4</v>
      </c>
      <c r="I67" s="181"/>
      <c r="J67" s="180" t="s">
        <v>95</v>
      </c>
    </row>
    <row r="68" spans="1:10" x14ac:dyDescent="0.25">
      <c r="A68" s="179" t="s">
        <v>691</v>
      </c>
      <c r="B68" s="179" t="str">
        <f>CONCATENATE(RIGHT(YEAR(C68),2),Partos[[#This Row],[Columna1]])</f>
        <v>25059</v>
      </c>
      <c r="C68" s="180">
        <v>45841</v>
      </c>
      <c r="D68" s="255" t="s">
        <v>380</v>
      </c>
      <c r="E68" s="181" t="str">
        <f>VLOOKUP(Partos[[#This Row],[Numero Vaca]],Fichas[#All],2,FALSE)</f>
        <v>Blanquita2</v>
      </c>
      <c r="F68" s="177" t="s">
        <v>23</v>
      </c>
      <c r="G68" s="177"/>
      <c r="H68" s="178">
        <f t="shared" ref="H68:H72" ca="1" si="5">(TODAY()-C68)/30</f>
        <v>8.1999999999999993</v>
      </c>
      <c r="I68" s="181"/>
      <c r="J68" s="180"/>
    </row>
    <row r="69" spans="1:10" x14ac:dyDescent="0.25">
      <c r="A69" s="179" t="s">
        <v>692</v>
      </c>
      <c r="B69" s="179" t="str">
        <f>CONCATENATE(RIGHT(YEAR(C69),2),Partos[[#This Row],[Columna1]])</f>
        <v>25060</v>
      </c>
      <c r="C69" s="180">
        <v>45850</v>
      </c>
      <c r="D69" s="255" t="s">
        <v>689</v>
      </c>
      <c r="E69" s="181" t="str">
        <f>VLOOKUP(Partos[[#This Row],[Numero Vaca]],Fichas[#All],2,FALSE)</f>
        <v>Totumita Barreto</v>
      </c>
      <c r="F69" s="177" t="s">
        <v>24</v>
      </c>
      <c r="G69" s="177"/>
      <c r="H69" s="178">
        <f t="shared" ca="1" si="5"/>
        <v>7.9</v>
      </c>
      <c r="I69" s="181"/>
      <c r="J69" s="180" t="s">
        <v>95</v>
      </c>
    </row>
    <row r="70" spans="1:10" x14ac:dyDescent="0.25">
      <c r="A70" s="179" t="s">
        <v>693</v>
      </c>
      <c r="B70" s="179" t="str">
        <f>CONCATENATE(RIGHT(YEAR(C70),2),Partos[[#This Row],[Columna1]])</f>
        <v>25061</v>
      </c>
      <c r="C70" s="180">
        <v>45853</v>
      </c>
      <c r="D70" s="255" t="s">
        <v>690</v>
      </c>
      <c r="E70" s="181" t="str">
        <f>VLOOKUP(Partos[[#This Row],[Numero Vaca]],Fichas[#All],2,FALSE)</f>
        <v>Chocolate Barreto</v>
      </c>
      <c r="F70" s="177" t="s">
        <v>24</v>
      </c>
      <c r="G70" s="177"/>
      <c r="H70" s="178">
        <f t="shared" ca="1" si="5"/>
        <v>7.8</v>
      </c>
      <c r="I70" s="181"/>
      <c r="J70" s="180" t="s">
        <v>95</v>
      </c>
    </row>
    <row r="71" spans="1:10" x14ac:dyDescent="0.25">
      <c r="A71" s="179" t="s">
        <v>714</v>
      </c>
      <c r="B71" s="179" t="str">
        <f>CONCATENATE(RIGHT(YEAR(C71),2),Partos[[#This Row],[Columna1]])</f>
        <v>25062</v>
      </c>
      <c r="C71" s="180">
        <v>45883</v>
      </c>
      <c r="D71" s="255" t="s">
        <v>643</v>
      </c>
      <c r="E71" s="181" t="str">
        <f>VLOOKUP(Partos[[#This Row],[Numero Vaca]],Fichas[#All],2,FALSE)</f>
        <v>MASSIEL</v>
      </c>
      <c r="F71" s="177" t="s">
        <v>23</v>
      </c>
      <c r="G71" s="177"/>
      <c r="H71" s="178">
        <f t="shared" ca="1" si="5"/>
        <v>6.8</v>
      </c>
      <c r="I71" s="181"/>
      <c r="J71" s="180"/>
    </row>
    <row r="72" spans="1:10" x14ac:dyDescent="0.25">
      <c r="A72" s="179" t="s">
        <v>724</v>
      </c>
      <c r="B72" s="179" t="str">
        <f>CONCATENATE(RIGHT(YEAR(C72),2),Partos[[#This Row],[Columna1]])</f>
        <v>25063</v>
      </c>
      <c r="C72" s="180">
        <v>45892</v>
      </c>
      <c r="D72" s="255" t="s">
        <v>196</v>
      </c>
      <c r="E72" s="181" t="str">
        <f>VLOOKUP(Partos[[#This Row],[Numero Vaca]],Fichas[#All],2,FALSE)</f>
        <v>TRANCO LARGO</v>
      </c>
      <c r="F72" s="177" t="s">
        <v>23</v>
      </c>
      <c r="G72" s="177"/>
      <c r="H72" s="178">
        <f t="shared" ca="1" si="5"/>
        <v>6.5</v>
      </c>
      <c r="I72" s="181"/>
      <c r="J72" s="180"/>
    </row>
    <row r="73" spans="1:10" x14ac:dyDescent="0.25">
      <c r="A73" s="179" t="s">
        <v>728</v>
      </c>
      <c r="B73" s="179" t="str">
        <f>CONCATENATE(RIGHT(YEAR(C73),2),Partos[[#This Row],[Columna1]])</f>
        <v>25064</v>
      </c>
      <c r="C73" s="180">
        <v>45920</v>
      </c>
      <c r="D73" s="255" t="s">
        <v>730</v>
      </c>
      <c r="E73" s="181" t="str">
        <f>VLOOKUP(Partos[[#This Row],[Numero Vaca]],Fichas[#All],2,FALSE)</f>
        <v>Tatiana Barreto</v>
      </c>
      <c r="F73" s="177" t="s">
        <v>23</v>
      </c>
      <c r="G73" s="177"/>
      <c r="H73" s="178">
        <f t="shared" ref="H73" ca="1" si="6">(TODAY()-C73)/30</f>
        <v>5.5666666666666664</v>
      </c>
      <c r="I73" s="181"/>
      <c r="J73" s="180" t="s">
        <v>95</v>
      </c>
    </row>
    <row r="74" spans="1:10" x14ac:dyDescent="0.25">
      <c r="A74" s="179" t="s">
        <v>733</v>
      </c>
      <c r="B74" s="179" t="s">
        <v>734</v>
      </c>
      <c r="C74" s="180">
        <v>45911</v>
      </c>
      <c r="D74" s="255" t="s">
        <v>457</v>
      </c>
      <c r="E74" s="181" t="str">
        <f>VLOOKUP(Partos[[#This Row],[Numero Vaca]],Fichas[#All],2,FALSE)</f>
        <v>Patanemo Cordero</v>
      </c>
      <c r="F74" s="177" t="s">
        <v>24</v>
      </c>
      <c r="G74" s="177"/>
      <c r="H74" s="178">
        <v>1.3</v>
      </c>
      <c r="I74" s="181"/>
      <c r="J74" s="180"/>
    </row>
    <row r="75" spans="1:10" x14ac:dyDescent="0.25">
      <c r="A75" s="179" t="s">
        <v>737</v>
      </c>
      <c r="B75" s="179" t="s">
        <v>735</v>
      </c>
      <c r="C75" s="180">
        <v>45920</v>
      </c>
      <c r="D75" s="255" t="s">
        <v>736</v>
      </c>
      <c r="E75" s="181" t="str">
        <f>VLOOKUP(Partos[[#This Row],[Numero Vaca]],Fichas[#All],2,FALSE)</f>
        <v>MARIPOSA Barreto</v>
      </c>
      <c r="F75" s="177" t="s">
        <v>23</v>
      </c>
      <c r="G75" s="177"/>
      <c r="H75" s="178">
        <v>1</v>
      </c>
      <c r="I75" s="181"/>
      <c r="J75" s="180"/>
    </row>
    <row r="76" spans="1:10" x14ac:dyDescent="0.25">
      <c r="A76" s="179" t="s">
        <v>741</v>
      </c>
      <c r="B76" s="179" t="str">
        <f>CONCATENATE(RIGHT(YEAR(C76),2),Partos[[#This Row],[Columna1]])</f>
        <v>25067</v>
      </c>
      <c r="C76" s="180">
        <v>45950</v>
      </c>
      <c r="D76" s="255" t="s">
        <v>378</v>
      </c>
      <c r="E76" s="181" t="str">
        <f>VLOOKUP(Partos[[#This Row],[Numero Vaca]],Fichas[#All],2,FALSE)</f>
        <v>Esperanza</v>
      </c>
      <c r="F76" s="177" t="s">
        <v>24</v>
      </c>
      <c r="G76" s="177"/>
      <c r="H76" s="178">
        <f ca="1">(TODAY()-C76)/30</f>
        <v>4.5666666666666664</v>
      </c>
      <c r="I76" s="181"/>
      <c r="J76" s="180"/>
    </row>
    <row r="77" spans="1:10" x14ac:dyDescent="0.25">
      <c r="A77" s="179" t="s">
        <v>742</v>
      </c>
      <c r="B77" s="179" t="str">
        <f>CONCATENATE(RIGHT(YEAR(C77),2),Partos[[#This Row],[Columna1]])</f>
        <v>25068</v>
      </c>
      <c r="C77" s="180">
        <v>45953</v>
      </c>
      <c r="D77" s="255" t="s">
        <v>190</v>
      </c>
      <c r="E77" s="181" t="str">
        <f>VLOOKUP(Partos[[#This Row],[Numero Vaca]],Fichas[#All],2,FALSE)</f>
        <v>LA YEGUA</v>
      </c>
      <c r="F77" s="177" t="s">
        <v>24</v>
      </c>
      <c r="G77" s="177"/>
      <c r="H77" s="178">
        <f ca="1">(TODAY()-C77)/30</f>
        <v>4.4666666666666668</v>
      </c>
      <c r="I77" s="181"/>
      <c r="J77" s="180"/>
    </row>
    <row r="78" spans="1:10" x14ac:dyDescent="0.25">
      <c r="A78" s="179" t="s">
        <v>746</v>
      </c>
      <c r="B78" s="179" t="str">
        <f>CONCATENATE(RIGHT(YEAR(C78),2),Partos[[#This Row],[Columna1]])</f>
        <v>25069</v>
      </c>
      <c r="C78" s="180">
        <v>45957</v>
      </c>
      <c r="D78" s="255" t="s">
        <v>747</v>
      </c>
      <c r="E78" s="181" t="str">
        <f>VLOOKUP(Partos[[#This Row],[Numero Vaca]],Fichas[#All],2,FALSE)</f>
        <v>La Enana Barreto</v>
      </c>
      <c r="F78" s="177" t="s">
        <v>23</v>
      </c>
      <c r="G78" s="177"/>
      <c r="H78" s="178">
        <f ca="1">(TODAY()-C78)/30</f>
        <v>4.333333333333333</v>
      </c>
      <c r="I78" s="181"/>
      <c r="J78" s="180"/>
    </row>
    <row r="79" spans="1:10" x14ac:dyDescent="0.25">
      <c r="A79" s="183"/>
      <c r="B79" s="176"/>
      <c r="C79" s="177" t="s">
        <v>75</v>
      </c>
      <c r="D79" s="177">
        <f>SUBTOTAL(103,Partos[Numero Vaca])</f>
        <v>77</v>
      </c>
      <c r="E79" s="183"/>
      <c r="F79" s="183"/>
      <c r="G79" s="183"/>
      <c r="H79" s="183"/>
      <c r="I79" s="183"/>
      <c r="J79" s="177"/>
    </row>
    <row r="81" spans="2:4" x14ac:dyDescent="0.25">
      <c r="B81" s="184"/>
      <c r="C81" s="264"/>
      <c r="D81" s="184"/>
    </row>
  </sheetData>
  <phoneticPr fontId="3" type="noConversion"/>
  <conditionalFormatting sqref="D47">
    <cfRule type="expression" dxfId="178" priority="1">
      <formula>$B47&lt;&gt;""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L42"/>
  <sheetViews>
    <sheetView workbookViewId="0">
      <selection activeCell="N4" sqref="N4"/>
    </sheetView>
  </sheetViews>
  <sheetFormatPr baseColWidth="10" defaultColWidth="10.7109375" defaultRowHeight="15" x14ac:dyDescent="0.25"/>
  <cols>
    <col min="1" max="1" width="8.140625" customWidth="1"/>
    <col min="4" max="4" width="16.28515625" customWidth="1"/>
    <col min="5" max="5" width="6.85546875" customWidth="1"/>
    <col min="6" max="6" width="14.42578125" customWidth="1"/>
    <col min="7" max="7" width="9.85546875" customWidth="1"/>
    <col min="8" max="8" width="18.140625" customWidth="1"/>
    <col min="9" max="9" width="14.85546875" customWidth="1"/>
    <col min="10" max="10" width="12" customWidth="1"/>
    <col min="11" max="11" width="13.7109375" customWidth="1"/>
  </cols>
  <sheetData>
    <row r="1" spans="1:12" x14ac:dyDescent="0.25">
      <c r="A1" t="s">
        <v>397</v>
      </c>
    </row>
    <row r="3" spans="1:12" x14ac:dyDescent="0.25">
      <c r="A3" s="258" t="s">
        <v>399</v>
      </c>
      <c r="B3" s="256" t="s">
        <v>12</v>
      </c>
      <c r="C3" s="256" t="s">
        <v>398</v>
      </c>
      <c r="D3" s="256" t="s">
        <v>1</v>
      </c>
      <c r="E3" s="256" t="s">
        <v>331</v>
      </c>
      <c r="F3" s="256" t="s">
        <v>25</v>
      </c>
      <c r="G3" s="256" t="s">
        <v>402</v>
      </c>
      <c r="H3" s="256" t="s">
        <v>315</v>
      </c>
      <c r="I3" s="256" t="s">
        <v>485</v>
      </c>
      <c r="J3" s="256" t="s">
        <v>500</v>
      </c>
      <c r="K3" s="256" t="s">
        <v>484</v>
      </c>
      <c r="L3" s="259" t="s">
        <v>129</v>
      </c>
    </row>
    <row r="4" spans="1:12" x14ac:dyDescent="0.25">
      <c r="A4" s="229">
        <v>1</v>
      </c>
      <c r="B4" s="6">
        <v>45175</v>
      </c>
      <c r="C4" s="255" t="s">
        <v>380</v>
      </c>
      <c r="D4" s="228" t="s">
        <v>128</v>
      </c>
      <c r="E4" s="228" t="s">
        <v>404</v>
      </c>
      <c r="F4" s="228" t="s">
        <v>400</v>
      </c>
      <c r="G4" s="228" t="s">
        <v>401</v>
      </c>
      <c r="H4" s="228" t="s">
        <v>483</v>
      </c>
      <c r="I4" s="6">
        <f>Servicios[[#This Row],[Fecha]]+21</f>
        <v>45196</v>
      </c>
      <c r="J4" s="6">
        <f>Servicios[[#This Row],[Fecha]]+60</f>
        <v>45235</v>
      </c>
      <c r="K4" s="57">
        <f ca="1">(TODAY()-Servicios[[#This Row],[Fecha]])/30</f>
        <v>30.4</v>
      </c>
      <c r="L4" s="260">
        <f>Servicios[[#This Row],[Fecha]]+283</f>
        <v>45458</v>
      </c>
    </row>
    <row r="5" spans="1:12" x14ac:dyDescent="0.25">
      <c r="A5" s="229">
        <f>A4+1</f>
        <v>2</v>
      </c>
      <c r="B5" s="6">
        <v>45196</v>
      </c>
      <c r="C5" s="255">
        <v>20011</v>
      </c>
      <c r="D5" s="228" t="s">
        <v>128</v>
      </c>
      <c r="E5" s="269" t="s">
        <v>404</v>
      </c>
      <c r="F5" s="228" t="s">
        <v>400</v>
      </c>
      <c r="G5" s="228" t="s">
        <v>401</v>
      </c>
      <c r="H5" s="228" t="s">
        <v>483</v>
      </c>
      <c r="I5" s="6">
        <f>Servicios[[#This Row],[Fecha]]+21</f>
        <v>45217</v>
      </c>
      <c r="J5" s="6">
        <f>Servicios[[#This Row],[Fecha]]+60</f>
        <v>45256</v>
      </c>
      <c r="K5" s="57">
        <f ca="1">(TODAY()-Servicios[[#This Row],[Fecha]])/30</f>
        <v>29.7</v>
      </c>
      <c r="L5" s="260">
        <f>Servicios[[#This Row],[Fecha]]+283</f>
        <v>45479</v>
      </c>
    </row>
    <row r="6" spans="1:12" x14ac:dyDescent="0.25">
      <c r="A6" s="229">
        <f t="shared" ref="A6:A14" si="0">A5+1</f>
        <v>3</v>
      </c>
      <c r="B6" s="6">
        <v>45273</v>
      </c>
      <c r="C6" s="255" t="s">
        <v>304</v>
      </c>
      <c r="D6" s="228" t="str">
        <f>VLOOKUP(Servicios[[#This Row],[No.Vaca]],Fichas[#All],2,FALSE)</f>
        <v>Morena</v>
      </c>
      <c r="E6" s="228" t="s">
        <v>404</v>
      </c>
      <c r="F6" s="228" t="s">
        <v>400</v>
      </c>
      <c r="G6" s="228" t="s">
        <v>401</v>
      </c>
      <c r="H6" s="228" t="s">
        <v>483</v>
      </c>
      <c r="I6" s="6">
        <f>Servicios[[#This Row],[Fecha]]+21</f>
        <v>45294</v>
      </c>
      <c r="J6" s="6">
        <f>Servicios[[#This Row],[Fecha]]+60</f>
        <v>45333</v>
      </c>
      <c r="K6" s="57">
        <f ca="1">(TODAY()-Servicios[[#This Row],[Fecha]])/30</f>
        <v>27.133333333333333</v>
      </c>
      <c r="L6" s="260">
        <f>Servicios[[#This Row],[Fecha]]+283</f>
        <v>45556</v>
      </c>
    </row>
    <row r="7" spans="1:12" x14ac:dyDescent="0.25">
      <c r="A7" s="229">
        <f t="shared" si="0"/>
        <v>4</v>
      </c>
      <c r="B7" s="6">
        <v>45279</v>
      </c>
      <c r="C7" s="255" t="s">
        <v>457</v>
      </c>
      <c r="D7" s="269" t="str">
        <f>VLOOKUP(Servicios[[#This Row],[No.Vaca]],Fichas[#All],2,FALSE)</f>
        <v>Patanemo Cordero</v>
      </c>
      <c r="E7" s="228" t="s">
        <v>404</v>
      </c>
      <c r="F7" s="269" t="s">
        <v>400</v>
      </c>
      <c r="G7" s="269" t="s">
        <v>401</v>
      </c>
      <c r="H7" s="339" t="s">
        <v>483</v>
      </c>
      <c r="I7" s="6">
        <f>Servicios[[#This Row],[Fecha]]+21</f>
        <v>45300</v>
      </c>
      <c r="J7" s="6">
        <f>Servicios[[#This Row],[Fecha]]+60</f>
        <v>45339</v>
      </c>
      <c r="K7" s="57">
        <f ca="1">(TODAY()-Servicios[[#This Row],[Fecha]])/30</f>
        <v>26.933333333333334</v>
      </c>
      <c r="L7" s="260">
        <f>Servicios[[#This Row],[Fecha]]+283</f>
        <v>45562</v>
      </c>
    </row>
    <row r="8" spans="1:12" x14ac:dyDescent="0.25">
      <c r="A8" s="229">
        <f t="shared" si="0"/>
        <v>5</v>
      </c>
      <c r="B8" s="6">
        <v>45279</v>
      </c>
      <c r="C8" s="255" t="s">
        <v>184</v>
      </c>
      <c r="D8" s="339" t="str">
        <f>VLOOKUP(Servicios[[#This Row],[No.Vaca]],Fichas[#All],2,FALSE)</f>
        <v>MARIANA</v>
      </c>
      <c r="E8" s="269" t="s">
        <v>404</v>
      </c>
      <c r="F8" s="269" t="s">
        <v>400</v>
      </c>
      <c r="G8" s="269" t="s">
        <v>401</v>
      </c>
      <c r="H8" s="339" t="s">
        <v>483</v>
      </c>
      <c r="I8" s="6">
        <f>Servicios[[#This Row],[Fecha]]+21</f>
        <v>45300</v>
      </c>
      <c r="J8" s="6">
        <f>Servicios[[#This Row],[Fecha]]+60</f>
        <v>45339</v>
      </c>
      <c r="K8" s="57">
        <f ca="1">(TODAY()-Servicios[[#This Row],[Fecha]])/30</f>
        <v>26.933333333333334</v>
      </c>
      <c r="L8" s="260">
        <f>Servicios[[#This Row],[Fecha]]+283</f>
        <v>45562</v>
      </c>
    </row>
    <row r="9" spans="1:12" x14ac:dyDescent="0.25">
      <c r="A9" s="229">
        <f t="shared" si="0"/>
        <v>6</v>
      </c>
      <c r="B9" s="6">
        <v>45310</v>
      </c>
      <c r="C9" s="255" t="s">
        <v>304</v>
      </c>
      <c r="D9" s="339" t="str">
        <f>VLOOKUP(Servicios[[#This Row],[No.Vaca]],Fichas[#All],2,FALSE)</f>
        <v>Morena</v>
      </c>
      <c r="E9" s="228" t="s">
        <v>404</v>
      </c>
      <c r="F9" s="228" t="s">
        <v>400</v>
      </c>
      <c r="G9" s="228" t="s">
        <v>401</v>
      </c>
      <c r="H9" s="228" t="s">
        <v>483</v>
      </c>
      <c r="I9" s="6">
        <f>Servicios[[#This Row],[Fecha]]+21</f>
        <v>45331</v>
      </c>
      <c r="J9" s="6">
        <f>Servicios[[#This Row],[Fecha]]+60</f>
        <v>45370</v>
      </c>
      <c r="K9" s="57">
        <f ca="1">(TODAY()-Servicios[[#This Row],[Fecha]])/30</f>
        <v>25.9</v>
      </c>
      <c r="L9" s="260">
        <f>Servicios[[#This Row],[Fecha]]+283</f>
        <v>45593</v>
      </c>
    </row>
    <row r="10" spans="1:12" x14ac:dyDescent="0.25">
      <c r="A10" s="229">
        <f t="shared" si="0"/>
        <v>7</v>
      </c>
      <c r="B10" s="6">
        <v>45355</v>
      </c>
      <c r="C10" s="255" t="s">
        <v>114</v>
      </c>
      <c r="D10" s="339" t="str">
        <f>VLOOKUP(Servicios[[#This Row],[No.Vaca]],Fichas[#All],2,FALSE)</f>
        <v>Yolimar</v>
      </c>
      <c r="E10" s="339" t="s">
        <v>404</v>
      </c>
      <c r="F10" s="339" t="s">
        <v>400</v>
      </c>
      <c r="G10" s="339" t="s">
        <v>401</v>
      </c>
      <c r="H10" s="339" t="s">
        <v>483</v>
      </c>
      <c r="I10" s="6">
        <f>Servicios[[#This Row],[Fecha]]+21</f>
        <v>45376</v>
      </c>
      <c r="J10" s="6">
        <f>Servicios[[#This Row],[Fecha]]+60</f>
        <v>45415</v>
      </c>
      <c r="K10" s="57">
        <f ca="1">(TODAY()-Servicios[[#This Row],[Fecha]])/30</f>
        <v>24.4</v>
      </c>
      <c r="L10" s="260">
        <f>Servicios[[#This Row],[Fecha]]+283</f>
        <v>45638</v>
      </c>
    </row>
    <row r="11" spans="1:12" x14ac:dyDescent="0.25">
      <c r="A11" s="340">
        <f t="shared" si="0"/>
        <v>8</v>
      </c>
      <c r="B11" s="6">
        <v>45355</v>
      </c>
      <c r="C11" s="255" t="s">
        <v>191</v>
      </c>
      <c r="D11" s="339" t="str">
        <f>VLOOKUP(Servicios[[#This Row],[No.Vaca]],Fichas[#All],2,FALSE)</f>
        <v>OJOS NEGROS</v>
      </c>
      <c r="E11" s="339" t="s">
        <v>404</v>
      </c>
      <c r="F11" s="339" t="s">
        <v>400</v>
      </c>
      <c r="G11" s="339" t="s">
        <v>401</v>
      </c>
      <c r="H11" s="339" t="s">
        <v>483</v>
      </c>
      <c r="I11" s="6">
        <f>Servicios[[#This Row],[Fecha]]+21</f>
        <v>45376</v>
      </c>
      <c r="J11" s="6">
        <f>Servicios[[#This Row],[Fecha]]+60</f>
        <v>45415</v>
      </c>
      <c r="K11" s="57">
        <f ca="1">(TODAY()-Servicios[[#This Row],[Fecha]])/30</f>
        <v>24.4</v>
      </c>
      <c r="L11" s="260">
        <f>Servicios[[#This Row],[Fecha]]+283</f>
        <v>45638</v>
      </c>
    </row>
    <row r="12" spans="1:12" x14ac:dyDescent="0.25">
      <c r="A12" s="340">
        <f t="shared" si="0"/>
        <v>9</v>
      </c>
      <c r="B12" s="6">
        <v>45358</v>
      </c>
      <c r="C12" s="255" t="s">
        <v>309</v>
      </c>
      <c r="D12" s="339" t="str">
        <f>VLOOKUP(Servicios[[#This Row],[No.Vaca]],Fichas[#All],2,FALSE)</f>
        <v>La Negra</v>
      </c>
      <c r="E12" s="339" t="s">
        <v>404</v>
      </c>
      <c r="F12" s="339" t="s">
        <v>400</v>
      </c>
      <c r="G12" s="339" t="s">
        <v>401</v>
      </c>
      <c r="H12" s="339" t="s">
        <v>483</v>
      </c>
      <c r="I12" s="6">
        <f>Servicios[[#This Row],[Fecha]]+21</f>
        <v>45379</v>
      </c>
      <c r="J12" s="6">
        <f>Servicios[[#This Row],[Fecha]]+60</f>
        <v>45418</v>
      </c>
      <c r="K12" s="57">
        <f ca="1">(TODAY()-Servicios[[#This Row],[Fecha]])/30</f>
        <v>24.3</v>
      </c>
      <c r="L12" s="260">
        <f>Servicios[[#This Row],[Fecha]]+283</f>
        <v>45641</v>
      </c>
    </row>
    <row r="13" spans="1:12" x14ac:dyDescent="0.25">
      <c r="A13" s="340">
        <f t="shared" si="0"/>
        <v>10</v>
      </c>
      <c r="B13" s="6">
        <v>45364</v>
      </c>
      <c r="C13" s="255" t="s">
        <v>304</v>
      </c>
      <c r="D13" s="339" t="str">
        <f>VLOOKUP(Servicios[[#This Row],[No.Vaca]],Fichas[#All],2,FALSE)</f>
        <v>Morena</v>
      </c>
      <c r="E13" s="339" t="s">
        <v>404</v>
      </c>
      <c r="F13" s="339" t="s">
        <v>400</v>
      </c>
      <c r="G13" s="339" t="s">
        <v>401</v>
      </c>
      <c r="H13" s="339" t="s">
        <v>483</v>
      </c>
      <c r="I13" s="6">
        <f>Servicios[[#This Row],[Fecha]]+21</f>
        <v>45385</v>
      </c>
      <c r="J13" s="6">
        <f>Servicios[[#This Row],[Fecha]]+60</f>
        <v>45424</v>
      </c>
      <c r="K13" s="57">
        <f ca="1">(TODAY()-Servicios[[#This Row],[Fecha]])/30</f>
        <v>24.1</v>
      </c>
      <c r="L13" s="260">
        <f>Servicios[[#This Row],[Fecha]]+283</f>
        <v>45647</v>
      </c>
    </row>
    <row r="14" spans="1:12" x14ac:dyDescent="0.25">
      <c r="A14" s="340">
        <f t="shared" si="0"/>
        <v>11</v>
      </c>
      <c r="B14" s="257">
        <v>45376</v>
      </c>
      <c r="C14" s="261" t="s">
        <v>114</v>
      </c>
      <c r="D14" s="339" t="str">
        <f>VLOOKUP(Servicios[[#This Row],[No.Vaca]],Fichas[#All],2,FALSE)</f>
        <v>Yolimar</v>
      </c>
      <c r="E14" s="343" t="s">
        <v>404</v>
      </c>
      <c r="F14" s="342" t="s">
        <v>400</v>
      </c>
      <c r="G14" s="342" t="s">
        <v>401</v>
      </c>
      <c r="H14" s="342" t="s">
        <v>483</v>
      </c>
      <c r="I14" s="6">
        <f>Servicios[[#This Row],[Fecha]]+21</f>
        <v>45397</v>
      </c>
      <c r="J14" s="6">
        <f>Servicios[[#This Row],[Fecha]]+60</f>
        <v>45436</v>
      </c>
      <c r="K14" s="57">
        <f ca="1">(TODAY()-Servicios[[#This Row],[Fecha]])/30</f>
        <v>23.7</v>
      </c>
      <c r="L14" s="260">
        <f>Servicios[[#This Row],[Fecha]]+283</f>
        <v>45659</v>
      </c>
    </row>
    <row r="15" spans="1:12" x14ac:dyDescent="0.25">
      <c r="A15" s="60">
        <v>12</v>
      </c>
      <c r="B15" s="257">
        <v>45384</v>
      </c>
      <c r="C15" s="261" t="s">
        <v>379</v>
      </c>
      <c r="D15" s="343" t="str">
        <f>VLOOKUP(Servicios[[#This Row],[No.Vaca]],Fichas[#All],2,FALSE)</f>
        <v>Carapachita</v>
      </c>
      <c r="E15" s="343" t="s">
        <v>404</v>
      </c>
      <c r="F15" s="343" t="s">
        <v>400</v>
      </c>
      <c r="G15" s="343" t="s">
        <v>401</v>
      </c>
      <c r="H15" s="343" t="s">
        <v>483</v>
      </c>
      <c r="I15" s="257">
        <f>Servicios[[#This Row],[Fecha]]+21</f>
        <v>45405</v>
      </c>
      <c r="J15" s="257">
        <f>Servicios[[#This Row],[Fecha]]+60</f>
        <v>45444</v>
      </c>
      <c r="K15" s="427">
        <f ca="1">(TODAY()-Servicios[[#This Row],[Fecha]])/30</f>
        <v>23.433333333333334</v>
      </c>
      <c r="L15" s="346">
        <f>Servicios[[#This Row],[Fecha]]+283</f>
        <v>45667</v>
      </c>
    </row>
    <row r="16" spans="1:12" x14ac:dyDescent="0.25">
      <c r="A16" s="60">
        <v>13</v>
      </c>
      <c r="B16" s="257">
        <v>45404</v>
      </c>
      <c r="C16" s="261" t="s">
        <v>379</v>
      </c>
      <c r="D16" s="84" t="s">
        <v>127</v>
      </c>
      <c r="E16" s="84" t="s">
        <v>404</v>
      </c>
      <c r="F16" s="84" t="s">
        <v>577</v>
      </c>
      <c r="G16" s="84" t="s">
        <v>578</v>
      </c>
      <c r="H16" s="84" t="s">
        <v>483</v>
      </c>
      <c r="I16" s="257">
        <f>Servicios[[#This Row],[Fecha]]+21</f>
        <v>45425</v>
      </c>
      <c r="J16" s="257">
        <f>Servicios[[#This Row],[Fecha]]+60</f>
        <v>45464</v>
      </c>
      <c r="K16" s="427">
        <f ca="1">(TODAY()-Servicios[[#This Row],[Fecha]])/30</f>
        <v>22.766666666666666</v>
      </c>
      <c r="L16" s="346">
        <f>Servicios[[#This Row],[Fecha]]+283</f>
        <v>45687</v>
      </c>
    </row>
    <row r="17" spans="1:12" x14ac:dyDescent="0.25">
      <c r="A17" s="60">
        <v>14</v>
      </c>
      <c r="B17" s="257">
        <v>45407</v>
      </c>
      <c r="C17" s="261" t="s">
        <v>185</v>
      </c>
      <c r="D17" s="84" t="s">
        <v>579</v>
      </c>
      <c r="E17" s="84" t="s">
        <v>404</v>
      </c>
      <c r="F17" s="84" t="s">
        <v>577</v>
      </c>
      <c r="G17" s="84" t="s">
        <v>578</v>
      </c>
      <c r="H17" s="84" t="s">
        <v>483</v>
      </c>
      <c r="I17" s="257">
        <f>Servicios[[#This Row],[Fecha]]+21</f>
        <v>45428</v>
      </c>
      <c r="J17" s="257">
        <f>Servicios[[#This Row],[Fecha]]+60</f>
        <v>45467</v>
      </c>
      <c r="K17" s="427">
        <f ca="1">(TODAY()-Servicios[[#This Row],[Fecha]])/30</f>
        <v>22.666666666666668</v>
      </c>
      <c r="L17" s="346">
        <f>Servicios[[#This Row],[Fecha]]+283</f>
        <v>45690</v>
      </c>
    </row>
    <row r="18" spans="1:12" x14ac:dyDescent="0.25">
      <c r="A18" s="60">
        <v>15</v>
      </c>
      <c r="B18" s="257">
        <v>45409</v>
      </c>
      <c r="C18" s="261" t="s">
        <v>192</v>
      </c>
      <c r="D18" s="84" t="s">
        <v>580</v>
      </c>
      <c r="E18" s="84" t="s">
        <v>404</v>
      </c>
      <c r="F18" s="84" t="s">
        <v>577</v>
      </c>
      <c r="G18" s="84" t="s">
        <v>578</v>
      </c>
      <c r="H18" s="84" t="s">
        <v>483</v>
      </c>
      <c r="I18" s="257">
        <f>Servicios[[#This Row],[Fecha]]+21</f>
        <v>45430</v>
      </c>
      <c r="J18" s="257">
        <f>Servicios[[#This Row],[Fecha]]+60</f>
        <v>45469</v>
      </c>
      <c r="K18" s="427">
        <f ca="1">(TODAY()-Servicios[[#This Row],[Fecha]])/30</f>
        <v>22.6</v>
      </c>
      <c r="L18" s="346">
        <f>Servicios[[#This Row],[Fecha]]+283</f>
        <v>45692</v>
      </c>
    </row>
    <row r="19" spans="1:12" x14ac:dyDescent="0.25">
      <c r="A19" s="60">
        <v>16</v>
      </c>
      <c r="B19" s="6">
        <v>45467</v>
      </c>
      <c r="C19" s="255" t="s">
        <v>114</v>
      </c>
      <c r="D19" s="434" t="s">
        <v>133</v>
      </c>
      <c r="E19" s="84" t="s">
        <v>404</v>
      </c>
      <c r="F19" s="84" t="s">
        <v>577</v>
      </c>
      <c r="G19" s="84" t="s">
        <v>578</v>
      </c>
      <c r="H19" s="84" t="s">
        <v>483</v>
      </c>
      <c r="I19" s="6">
        <f>Servicios[[#This Row],[Fecha]]+21</f>
        <v>45488</v>
      </c>
      <c r="J19" s="6">
        <f>Servicios[[#This Row],[Fecha]]+60</f>
        <v>45527</v>
      </c>
      <c r="K19" s="57">
        <f ca="1">(TODAY()-Servicios[[#This Row],[Fecha]])/30</f>
        <v>20.666666666666668</v>
      </c>
      <c r="L19" s="260">
        <f>Servicios[[#This Row],[Fecha]]+283</f>
        <v>45750</v>
      </c>
    </row>
    <row r="20" spans="1:12" x14ac:dyDescent="0.25">
      <c r="A20" s="60">
        <v>17</v>
      </c>
      <c r="B20" s="6">
        <v>45498</v>
      </c>
      <c r="C20" s="255" t="s">
        <v>378</v>
      </c>
      <c r="D20" s="434" t="s">
        <v>117</v>
      </c>
      <c r="E20" s="84" t="s">
        <v>404</v>
      </c>
      <c r="F20" s="84" t="s">
        <v>577</v>
      </c>
      <c r="G20" s="84" t="s">
        <v>578</v>
      </c>
      <c r="H20" s="84" t="s">
        <v>483</v>
      </c>
      <c r="I20" s="6">
        <f>Servicios[[#This Row],[Fecha]]+21</f>
        <v>45519</v>
      </c>
      <c r="J20" s="6">
        <f>Servicios[[#This Row],[Fecha]]+60</f>
        <v>45558</v>
      </c>
      <c r="K20" s="57">
        <f ca="1">(TODAY()-Servicios[[#This Row],[Fecha]])/30</f>
        <v>19.633333333333333</v>
      </c>
      <c r="L20" s="260">
        <f>Servicios[[#This Row],[Fecha]]+283</f>
        <v>45781</v>
      </c>
    </row>
    <row r="21" spans="1:12" x14ac:dyDescent="0.25">
      <c r="A21" s="60">
        <v>18</v>
      </c>
      <c r="B21" s="6">
        <v>45536</v>
      </c>
      <c r="C21" s="255">
        <v>20011</v>
      </c>
      <c r="D21" s="434" t="s">
        <v>128</v>
      </c>
      <c r="E21" s="84" t="s">
        <v>404</v>
      </c>
      <c r="F21" s="84" t="s">
        <v>577</v>
      </c>
      <c r="G21" s="84" t="s">
        <v>578</v>
      </c>
      <c r="H21" s="84" t="s">
        <v>483</v>
      </c>
      <c r="I21" s="6">
        <f>Servicios[[#This Row],[Fecha]]+21</f>
        <v>45557</v>
      </c>
      <c r="J21" s="6">
        <f>Servicios[[#This Row],[Fecha]]+60</f>
        <v>45596</v>
      </c>
      <c r="K21" s="57">
        <f ca="1">(TODAY()-Servicios[[#This Row],[Fecha]])/30</f>
        <v>18.366666666666667</v>
      </c>
      <c r="L21" s="260">
        <f>Servicios[[#This Row],[Fecha]]+283</f>
        <v>45819</v>
      </c>
    </row>
    <row r="22" spans="1:12" x14ac:dyDescent="0.25">
      <c r="A22" s="60">
        <v>19</v>
      </c>
      <c r="B22" s="6">
        <v>45547</v>
      </c>
      <c r="C22" s="261" t="s">
        <v>114</v>
      </c>
      <c r="D22" s="434" t="str">
        <f>VLOOKUP(Servicios[[#This Row],[No.Vaca]],Fichas[#All],2,FALSE)</f>
        <v>Yolimar</v>
      </c>
      <c r="E22" s="84" t="s">
        <v>404</v>
      </c>
      <c r="F22" s="84" t="s">
        <v>577</v>
      </c>
      <c r="G22" s="84" t="s">
        <v>578</v>
      </c>
      <c r="H22" s="84" t="s">
        <v>483</v>
      </c>
      <c r="I22" s="6">
        <f>Servicios[[#This Row],[Fecha]]+21</f>
        <v>45568</v>
      </c>
      <c r="J22" s="6">
        <f>Servicios[[#This Row],[Fecha]]+60</f>
        <v>45607</v>
      </c>
      <c r="K22" s="57">
        <f ca="1">(TODAY()-Servicios[[#This Row],[Fecha]])/30</f>
        <v>18</v>
      </c>
      <c r="L22" s="260">
        <f>Servicios[[#This Row],[Fecha]]+283</f>
        <v>45830</v>
      </c>
    </row>
    <row r="23" spans="1:12" x14ac:dyDescent="0.25">
      <c r="A23" s="60">
        <v>20</v>
      </c>
      <c r="B23" s="6">
        <v>45556</v>
      </c>
      <c r="C23" s="255" t="s">
        <v>380</v>
      </c>
      <c r="D23" s="475" t="s">
        <v>128</v>
      </c>
      <c r="E23" s="84" t="s">
        <v>404</v>
      </c>
      <c r="F23" s="84" t="s">
        <v>577</v>
      </c>
      <c r="G23" s="84" t="s">
        <v>578</v>
      </c>
      <c r="H23" s="84" t="s">
        <v>483</v>
      </c>
      <c r="I23" s="6">
        <f>Servicios[[#This Row],[Fecha]]+21</f>
        <v>45577</v>
      </c>
      <c r="J23" s="6">
        <f>Servicios[[#This Row],[Fecha]]+60</f>
        <v>45616</v>
      </c>
      <c r="K23" s="57">
        <f ca="1">(TODAY()-Servicios[[#This Row],[Fecha]])/30</f>
        <v>17.7</v>
      </c>
      <c r="L23" s="260">
        <f>Servicios[[#This Row],[Fecha]]+283</f>
        <v>45839</v>
      </c>
    </row>
    <row r="24" spans="1:12" x14ac:dyDescent="0.25">
      <c r="A24" s="60">
        <v>21</v>
      </c>
      <c r="B24" s="6">
        <v>45586</v>
      </c>
      <c r="C24" s="261" t="s">
        <v>114</v>
      </c>
      <c r="D24" s="84" t="str">
        <f>VLOOKUP(Servicios[[#This Row],[No.Vaca]],Fichas[#All],2,FALSE)</f>
        <v>Yolimar</v>
      </c>
      <c r="E24" s="84" t="s">
        <v>404</v>
      </c>
      <c r="F24" s="84" t="s">
        <v>577</v>
      </c>
      <c r="G24" s="84" t="s">
        <v>578</v>
      </c>
      <c r="H24" s="84" t="s">
        <v>483</v>
      </c>
      <c r="I24" s="257">
        <f>Servicios[[#This Row],[Fecha]]+21</f>
        <v>45607</v>
      </c>
      <c r="J24" s="257">
        <f>Servicios[[#This Row],[Fecha]]+60</f>
        <v>45646</v>
      </c>
      <c r="K24" s="427">
        <f ca="1">(TODAY()-Servicios[[#This Row],[Fecha]])/30</f>
        <v>16.7</v>
      </c>
      <c r="L24" s="346">
        <f>Servicios[[#This Row],[Fecha]]+283</f>
        <v>45869</v>
      </c>
    </row>
    <row r="25" spans="1:12" x14ac:dyDescent="0.25">
      <c r="A25" s="469">
        <v>22</v>
      </c>
      <c r="B25" s="6">
        <v>45607</v>
      </c>
      <c r="C25" s="255" t="s">
        <v>114</v>
      </c>
      <c r="D25" s="468" t="s">
        <v>133</v>
      </c>
      <c r="E25" s="468" t="s">
        <v>404</v>
      </c>
      <c r="F25" s="468" t="s">
        <v>577</v>
      </c>
      <c r="G25" s="468" t="s">
        <v>578</v>
      </c>
      <c r="H25" s="468" t="s">
        <v>483</v>
      </c>
      <c r="I25" s="6">
        <f>Servicios[[#This Row],[Fecha]]+21</f>
        <v>45628</v>
      </c>
      <c r="J25" s="6">
        <f>Servicios[[#This Row],[Fecha]]+60</f>
        <v>45667</v>
      </c>
      <c r="K25" s="57">
        <f ca="1">(TODAY()-Servicios[[#This Row],[Fecha]])/30</f>
        <v>16</v>
      </c>
      <c r="L25" s="260">
        <f>Servicios[[#This Row],[Fecha]]+283</f>
        <v>45890</v>
      </c>
    </row>
    <row r="26" spans="1:12" x14ac:dyDescent="0.25">
      <c r="A26" s="471">
        <v>23</v>
      </c>
      <c r="B26" s="6">
        <v>45612</v>
      </c>
      <c r="C26" s="255" t="s">
        <v>196</v>
      </c>
      <c r="D26" s="470" t="s">
        <v>208</v>
      </c>
      <c r="E26" s="470" t="s">
        <v>404</v>
      </c>
      <c r="F26" s="470" t="s">
        <v>577</v>
      </c>
      <c r="G26" s="470" t="s">
        <v>578</v>
      </c>
      <c r="H26" s="470" t="s">
        <v>483</v>
      </c>
      <c r="I26" s="6">
        <f>Servicios[[#This Row],[Fecha]]+21</f>
        <v>45633</v>
      </c>
      <c r="J26" s="6">
        <f>Servicios[[#This Row],[Fecha]]+60</f>
        <v>45672</v>
      </c>
      <c r="K26" s="57">
        <f ca="1">(TODAY()-Servicios[[#This Row],[Fecha]])/30</f>
        <v>15.833333333333334</v>
      </c>
      <c r="L26" s="260">
        <f>Servicios[[#This Row],[Fecha]]+283</f>
        <v>45895</v>
      </c>
    </row>
    <row r="27" spans="1:12" x14ac:dyDescent="0.25">
      <c r="A27" s="60">
        <v>24</v>
      </c>
      <c r="B27" s="257">
        <v>45625</v>
      </c>
      <c r="C27" s="261" t="s">
        <v>457</v>
      </c>
      <c r="D27" s="84" t="s">
        <v>458</v>
      </c>
      <c r="E27" s="84" t="s">
        <v>404</v>
      </c>
      <c r="F27" s="84" t="s">
        <v>577</v>
      </c>
      <c r="G27" s="84" t="s">
        <v>578</v>
      </c>
      <c r="H27" s="474" t="s">
        <v>483</v>
      </c>
      <c r="I27" s="6">
        <f>Servicios[[#This Row],[Fecha]]+21</f>
        <v>45646</v>
      </c>
      <c r="J27" s="6">
        <f>Servicios[[#This Row],[Fecha]]+60</f>
        <v>45685</v>
      </c>
      <c r="K27" s="57">
        <f ca="1">(TODAY()-Servicios[[#This Row],[Fecha]])/30</f>
        <v>15.4</v>
      </c>
      <c r="L27" s="260">
        <f>Servicios[[#This Row],[Fecha]]+283</f>
        <v>45908</v>
      </c>
    </row>
    <row r="28" spans="1:12" x14ac:dyDescent="0.25">
      <c r="A28" s="477">
        <v>25</v>
      </c>
      <c r="B28" s="6">
        <v>45665</v>
      </c>
      <c r="C28" s="255" t="s">
        <v>184</v>
      </c>
      <c r="D28" s="476" t="s">
        <v>107</v>
      </c>
      <c r="E28" s="476" t="s">
        <v>404</v>
      </c>
      <c r="F28" s="476" t="s">
        <v>577</v>
      </c>
      <c r="G28" s="476" t="s">
        <v>578</v>
      </c>
      <c r="H28" s="476" t="s">
        <v>483</v>
      </c>
      <c r="I28" s="6">
        <f>Servicios[[#This Row],[Fecha]]+21</f>
        <v>45686</v>
      </c>
      <c r="J28" s="6">
        <f>Servicios[[#This Row],[Fecha]]+60</f>
        <v>45725</v>
      </c>
      <c r="K28" s="57">
        <f ca="1">(TODAY()-Servicios[[#This Row],[Fecha]])/30</f>
        <v>14.066666666666666</v>
      </c>
      <c r="L28" s="260">
        <f>Servicios[[#This Row],[Fecha]]+283</f>
        <v>45948</v>
      </c>
    </row>
    <row r="29" spans="1:12" x14ac:dyDescent="0.25">
      <c r="A29" s="60">
        <v>26</v>
      </c>
      <c r="B29" s="6">
        <v>45672</v>
      </c>
      <c r="C29" s="255" t="s">
        <v>190</v>
      </c>
      <c r="D29" s="486" t="s">
        <v>620</v>
      </c>
      <c r="E29" s="486" t="s">
        <v>404</v>
      </c>
      <c r="F29" s="486" t="s">
        <v>577</v>
      </c>
      <c r="G29" s="486" t="s">
        <v>578</v>
      </c>
      <c r="H29" s="486" t="s">
        <v>674</v>
      </c>
      <c r="I29" s="6">
        <f>Servicios[[#This Row],[Fecha]]+21</f>
        <v>45693</v>
      </c>
      <c r="J29" s="6">
        <f>Servicios[[#This Row],[Fecha]]+60</f>
        <v>45732</v>
      </c>
      <c r="K29" s="57">
        <f ca="1">(TODAY()-Servicios[[#This Row],[Fecha]])/30</f>
        <v>13.833333333333334</v>
      </c>
      <c r="L29" s="260">
        <f>Servicios[[#This Row],[Fecha]]+283</f>
        <v>45955</v>
      </c>
    </row>
    <row r="30" spans="1:12" x14ac:dyDescent="0.25">
      <c r="A30" s="60">
        <v>27</v>
      </c>
      <c r="B30" s="6">
        <v>45687</v>
      </c>
      <c r="C30" s="255" t="s">
        <v>191</v>
      </c>
      <c r="D30" s="476" t="s">
        <v>204</v>
      </c>
      <c r="E30" s="476" t="s">
        <v>404</v>
      </c>
      <c r="F30" s="476" t="s">
        <v>400</v>
      </c>
      <c r="G30" s="476" t="s">
        <v>401</v>
      </c>
      <c r="H30" s="476" t="s">
        <v>483</v>
      </c>
      <c r="I30" s="6">
        <f>Servicios[[#This Row],[Fecha]]+21</f>
        <v>45708</v>
      </c>
      <c r="J30" s="6">
        <f>Servicios[[#This Row],[Fecha]]+60</f>
        <v>45747</v>
      </c>
      <c r="K30" s="57">
        <f ca="1">(TODAY()-Servicios[[#This Row],[Fecha]])/30</f>
        <v>13.333333333333334</v>
      </c>
      <c r="L30" s="260">
        <f>Servicios[[#This Row],[Fecha]]+283</f>
        <v>45970</v>
      </c>
    </row>
    <row r="31" spans="1:12" x14ac:dyDescent="0.25">
      <c r="A31" s="60">
        <v>28</v>
      </c>
      <c r="B31" s="6">
        <v>45705</v>
      </c>
      <c r="C31" s="255" t="s">
        <v>642</v>
      </c>
      <c r="D31" s="487" t="s">
        <v>645</v>
      </c>
      <c r="E31" s="487" t="s">
        <v>404</v>
      </c>
      <c r="F31" s="487" t="s">
        <v>577</v>
      </c>
      <c r="G31" s="487" t="s">
        <v>578</v>
      </c>
      <c r="H31" s="487" t="s">
        <v>483</v>
      </c>
      <c r="I31" s="6">
        <f>Servicios[[#This Row],[Fecha]]+21</f>
        <v>45726</v>
      </c>
      <c r="J31" s="6">
        <f>Servicios[[#This Row],[Fecha]]+60</f>
        <v>45765</v>
      </c>
      <c r="K31" s="57">
        <f ca="1">(TODAY()-Servicios[[#This Row],[Fecha]])/30</f>
        <v>12.733333333333333</v>
      </c>
      <c r="L31" s="260">
        <f>Servicios[[#This Row],[Fecha]]+283</f>
        <v>45988</v>
      </c>
    </row>
    <row r="32" spans="1:12" x14ac:dyDescent="0.25">
      <c r="A32" s="60">
        <v>29</v>
      </c>
      <c r="B32" s="6">
        <v>45705</v>
      </c>
      <c r="C32" s="255" t="s">
        <v>309</v>
      </c>
      <c r="D32" s="487" t="str">
        <f>VLOOKUP(Servicios[[#This Row],[No.Vaca]],Fichas[#All],2,FALSE)</f>
        <v>La Negra</v>
      </c>
      <c r="E32" s="487" t="s">
        <v>404</v>
      </c>
      <c r="F32" s="487" t="s">
        <v>400</v>
      </c>
      <c r="G32" s="487" t="s">
        <v>578</v>
      </c>
      <c r="H32" s="487" t="s">
        <v>483</v>
      </c>
      <c r="I32" s="6">
        <f>Servicios[[#This Row],[Fecha]]+21</f>
        <v>45726</v>
      </c>
      <c r="J32" s="6">
        <f>Servicios[[#This Row],[Fecha]]+60</f>
        <v>45765</v>
      </c>
      <c r="K32" s="57">
        <f ca="1">(TODAY()-Servicios[[#This Row],[Fecha]])/30</f>
        <v>12.733333333333333</v>
      </c>
      <c r="L32" s="260">
        <f>Servicios[[#This Row],[Fecha]]+283</f>
        <v>45988</v>
      </c>
    </row>
    <row r="33" spans="1:12" x14ac:dyDescent="0.25">
      <c r="A33" s="489">
        <v>30</v>
      </c>
      <c r="B33" s="6">
        <v>45707</v>
      </c>
      <c r="C33" s="255" t="s">
        <v>191</v>
      </c>
      <c r="D33" s="488" t="s">
        <v>204</v>
      </c>
      <c r="E33" s="488" t="s">
        <v>404</v>
      </c>
      <c r="F33" s="488" t="s">
        <v>400</v>
      </c>
      <c r="G33" s="488" t="s">
        <v>401</v>
      </c>
      <c r="H33" s="488" t="s">
        <v>403</v>
      </c>
      <c r="I33" s="6">
        <f>Servicios[[#This Row],[Fecha]]+21</f>
        <v>45728</v>
      </c>
      <c r="J33" s="6">
        <f>Servicios[[#This Row],[Fecha]]+60</f>
        <v>45767</v>
      </c>
      <c r="K33" s="57">
        <f ca="1">(TODAY()-Servicios[[#This Row],[Fecha]])/30</f>
        <v>12.666666666666666</v>
      </c>
      <c r="L33" s="260">
        <f>Servicios[[#This Row],[Fecha]]+283</f>
        <v>45990</v>
      </c>
    </row>
    <row r="34" spans="1:12" x14ac:dyDescent="0.25">
      <c r="A34" s="499">
        <v>31</v>
      </c>
      <c r="B34" s="6">
        <v>45734</v>
      </c>
      <c r="C34" s="255" t="s">
        <v>191</v>
      </c>
      <c r="D34" s="498" t="s">
        <v>204</v>
      </c>
      <c r="E34" s="498" t="s">
        <v>404</v>
      </c>
      <c r="F34" s="498" t="s">
        <v>400</v>
      </c>
      <c r="G34" s="498" t="s">
        <v>401</v>
      </c>
      <c r="H34" s="498" t="s">
        <v>483</v>
      </c>
      <c r="I34" s="6">
        <f>Servicios[[#This Row],[Fecha]]+21</f>
        <v>45755</v>
      </c>
      <c r="J34" s="6">
        <f>Servicios[[#This Row],[Fecha]]+60</f>
        <v>45794</v>
      </c>
      <c r="K34" s="57">
        <f ca="1">(TODAY()-Servicios[[#This Row],[Fecha]])/30</f>
        <v>11.766666666666667</v>
      </c>
      <c r="L34" s="260">
        <f>Servicios[[#This Row],[Fecha]]+283</f>
        <v>46017</v>
      </c>
    </row>
    <row r="35" spans="1:12" x14ac:dyDescent="0.25">
      <c r="A35" s="506">
        <v>32</v>
      </c>
      <c r="B35" s="6">
        <v>45746</v>
      </c>
      <c r="C35" s="255" t="s">
        <v>642</v>
      </c>
      <c r="D35" s="505" t="s">
        <v>645</v>
      </c>
      <c r="E35" s="505" t="s">
        <v>404</v>
      </c>
      <c r="F35" s="505" t="s">
        <v>400</v>
      </c>
      <c r="G35" s="505" t="s">
        <v>401</v>
      </c>
      <c r="H35" s="505" t="s">
        <v>483</v>
      </c>
      <c r="I35" s="6">
        <f>Servicios[[#This Row],[Fecha]]+21</f>
        <v>45767</v>
      </c>
      <c r="J35" s="6">
        <f>Servicios[[#This Row],[Fecha]]+60</f>
        <v>45806</v>
      </c>
      <c r="K35" s="57">
        <f ca="1">(TODAY()-Servicios[[#This Row],[Fecha]])/30</f>
        <v>11.366666666666667</v>
      </c>
      <c r="L35" s="260">
        <f>Servicios[[#This Row],[Fecha]]+283</f>
        <v>46029</v>
      </c>
    </row>
    <row r="36" spans="1:12" x14ac:dyDescent="0.25">
      <c r="A36" s="520">
        <v>33</v>
      </c>
      <c r="B36" s="6">
        <v>45749</v>
      </c>
      <c r="C36" s="255" t="s">
        <v>379</v>
      </c>
      <c r="D36" s="519" t="s">
        <v>127</v>
      </c>
      <c r="E36" s="519" t="s">
        <v>651</v>
      </c>
      <c r="F36" s="519" t="s">
        <v>400</v>
      </c>
      <c r="G36" s="519" t="s">
        <v>401</v>
      </c>
      <c r="H36" s="519" t="s">
        <v>483</v>
      </c>
      <c r="I36" s="6">
        <f>Servicios[[#This Row],[Fecha]]+21</f>
        <v>45770</v>
      </c>
      <c r="J36" s="6">
        <f>Servicios[[#This Row],[Fecha]]+60</f>
        <v>45809</v>
      </c>
      <c r="K36" s="57">
        <f ca="1">(TODAY()-Servicios[[#This Row],[Fecha]])/30</f>
        <v>11.266666666666667</v>
      </c>
      <c r="L36" s="260">
        <f>Servicios[[#This Row],[Fecha]]+283</f>
        <v>46032</v>
      </c>
    </row>
    <row r="37" spans="1:12" x14ac:dyDescent="0.25">
      <c r="A37" s="533">
        <v>34</v>
      </c>
      <c r="B37" s="6">
        <v>45764</v>
      </c>
      <c r="C37" s="255" t="s">
        <v>304</v>
      </c>
      <c r="D37" s="532" t="str">
        <f>VLOOKUP(Servicios[[#This Row],[No.Vaca]],Fichas[#All],2,FALSE)</f>
        <v>Morena</v>
      </c>
      <c r="E37" s="532" t="s">
        <v>404</v>
      </c>
      <c r="F37" s="532" t="s">
        <v>400</v>
      </c>
      <c r="G37" s="532" t="s">
        <v>401</v>
      </c>
      <c r="H37" s="532" t="s">
        <v>483</v>
      </c>
      <c r="I37" s="6">
        <f>Servicios[[#This Row],[Fecha]]+21</f>
        <v>45785</v>
      </c>
      <c r="J37" s="6">
        <f>Servicios[[#This Row],[Fecha]]+60</f>
        <v>45824</v>
      </c>
      <c r="K37" s="57">
        <f ca="1">(TODAY()-Servicios[[#This Row],[Fecha]])/30</f>
        <v>10.766666666666667</v>
      </c>
      <c r="L37" s="260">
        <f>Servicios[[#This Row],[Fecha]]+283</f>
        <v>46047</v>
      </c>
    </row>
    <row r="38" spans="1:12" x14ac:dyDescent="0.25">
      <c r="A38" s="537">
        <v>35</v>
      </c>
      <c r="B38" s="6">
        <v>45811</v>
      </c>
      <c r="C38" s="255" t="s">
        <v>185</v>
      </c>
      <c r="D38" s="536" t="str">
        <f>VLOOKUP(Servicios[[#This Row],[No.Vaca]],Fichas[#All],2,FALSE)</f>
        <v>LUNA</v>
      </c>
      <c r="E38" s="536" t="s">
        <v>404</v>
      </c>
      <c r="F38" s="536" t="s">
        <v>400</v>
      </c>
      <c r="G38" s="536" t="s">
        <v>401</v>
      </c>
      <c r="H38" s="536" t="s">
        <v>483</v>
      </c>
      <c r="I38" s="6">
        <f>Servicios[[#This Row],[Fecha]]+21</f>
        <v>45832</v>
      </c>
      <c r="J38" s="6">
        <f>Servicios[[#This Row],[Fecha]]+60</f>
        <v>45871</v>
      </c>
      <c r="K38" s="57">
        <f ca="1">(TODAY()-Servicios[[#This Row],[Fecha]])/30</f>
        <v>9.1999999999999993</v>
      </c>
      <c r="L38" s="260">
        <f>Servicios[[#This Row],[Fecha]]+283</f>
        <v>46094</v>
      </c>
    </row>
    <row r="39" spans="1:12" x14ac:dyDescent="0.25">
      <c r="A39" s="577">
        <v>36</v>
      </c>
      <c r="B39" s="6">
        <v>45919</v>
      </c>
      <c r="C39" s="255" t="s">
        <v>196</v>
      </c>
      <c r="D39" s="576" t="str">
        <f>VLOOKUP(Servicios[[#This Row],[No.Vaca]],Fichas[#All],2,FALSE)</f>
        <v>TRANCO LARGO</v>
      </c>
      <c r="E39" s="576" t="s">
        <v>404</v>
      </c>
      <c r="F39" s="576" t="s">
        <v>400</v>
      </c>
      <c r="G39" s="576" t="s">
        <v>401</v>
      </c>
      <c r="H39" s="576" t="s">
        <v>483</v>
      </c>
      <c r="I39" s="6">
        <f>Servicios[[#This Row],[Fecha]]+21</f>
        <v>45940</v>
      </c>
      <c r="J39" s="6">
        <f>Servicios[[#This Row],[Fecha]]+60</f>
        <v>45979</v>
      </c>
      <c r="K39" s="57">
        <f ca="1">(TODAY()-Servicios[[#This Row],[Fecha]])/30</f>
        <v>5.6</v>
      </c>
      <c r="L39" s="260">
        <f>Servicios[[#This Row],[Fecha]]+283</f>
        <v>46202</v>
      </c>
    </row>
    <row r="40" spans="1:12" x14ac:dyDescent="0.25">
      <c r="A40" s="579">
        <v>37</v>
      </c>
      <c r="B40" s="6">
        <v>45945</v>
      </c>
      <c r="C40" s="255" t="s">
        <v>380</v>
      </c>
      <c r="D40" s="578" t="str">
        <f>VLOOKUP(Servicios[[#This Row],[No.Vaca]],Fichas[#All],2,FALSE)</f>
        <v>Blanquita2</v>
      </c>
      <c r="E40" s="578" t="s">
        <v>404</v>
      </c>
      <c r="F40" s="578" t="s">
        <v>400</v>
      </c>
      <c r="G40" s="578" t="s">
        <v>401</v>
      </c>
      <c r="H40" s="578" t="s">
        <v>483</v>
      </c>
      <c r="I40" s="6">
        <f>Servicios[[#This Row],[Fecha]]+21</f>
        <v>45966</v>
      </c>
      <c r="J40" s="6">
        <f>Servicios[[#This Row],[Fecha]]+60</f>
        <v>46005</v>
      </c>
      <c r="K40" s="57">
        <f ca="1">(TODAY()-Servicios[[#This Row],[Fecha]])/30</f>
        <v>4.7333333333333334</v>
      </c>
      <c r="L40" s="260">
        <f>Servicios[[#This Row],[Fecha]]+283</f>
        <v>46228</v>
      </c>
    </row>
    <row r="42" spans="1:12" x14ac:dyDescent="0.25">
      <c r="I42" s="429"/>
    </row>
  </sheetData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7"/>
  <dimension ref="A1:T90"/>
  <sheetViews>
    <sheetView topLeftCell="A64" workbookViewId="0">
      <selection activeCell="I77" sqref="I77"/>
    </sheetView>
  </sheetViews>
  <sheetFormatPr baseColWidth="10" defaultColWidth="10.7109375" defaultRowHeight="15" x14ac:dyDescent="0.25"/>
  <cols>
    <col min="1" max="2" width="10.7109375" style="217"/>
    <col min="3" max="3" width="20" customWidth="1"/>
    <col min="4" max="4" width="16" style="213" customWidth="1"/>
    <col min="5" max="5" width="19.42578125" customWidth="1"/>
    <col min="6" max="6" width="14.28515625" style="217" customWidth="1"/>
    <col min="7" max="7" width="7" customWidth="1"/>
    <col min="8" max="8" width="11.140625" customWidth="1"/>
    <col min="9" max="9" width="14.5703125" style="1" customWidth="1"/>
    <col min="10" max="10" width="15.140625" style="1" customWidth="1"/>
    <col min="11" max="11" width="18.85546875" style="1" customWidth="1"/>
    <col min="12" max="12" width="15.7109375" style="1" customWidth="1"/>
    <col min="13" max="13" width="11.7109375" style="1" customWidth="1"/>
    <col min="14" max="14" width="15.7109375" style="1" customWidth="1"/>
    <col min="15" max="15" width="14.42578125" style="1" customWidth="1"/>
    <col min="16" max="16" width="11.5703125" style="1"/>
    <col min="17" max="17" width="10.7109375" style="1"/>
    <col min="18" max="18" width="16" customWidth="1"/>
    <col min="19" max="19" width="13.85546875" style="1" customWidth="1"/>
  </cols>
  <sheetData>
    <row r="1" spans="1:19" x14ac:dyDescent="0.25">
      <c r="A1" s="217" t="s">
        <v>405</v>
      </c>
      <c r="H1" s="1"/>
      <c r="I1"/>
      <c r="K1"/>
      <c r="L1"/>
      <c r="M1"/>
      <c r="N1"/>
      <c r="O1"/>
      <c r="P1"/>
      <c r="Q1"/>
      <c r="S1"/>
    </row>
    <row r="2" spans="1:19" x14ac:dyDescent="0.25">
      <c r="H2" s="1"/>
      <c r="I2"/>
      <c r="K2"/>
      <c r="L2"/>
      <c r="M2"/>
      <c r="N2"/>
      <c r="O2"/>
      <c r="P2"/>
      <c r="Q2"/>
      <c r="S2"/>
    </row>
    <row r="3" spans="1:19" ht="15.75" thickBot="1" x14ac:dyDescent="0.3">
      <c r="A3" s="221" t="s">
        <v>12</v>
      </c>
      <c r="B3" s="218" t="s">
        <v>302</v>
      </c>
      <c r="C3" s="139" t="s">
        <v>1</v>
      </c>
      <c r="D3" s="214" t="s">
        <v>17</v>
      </c>
      <c r="E3" s="212" t="s">
        <v>315</v>
      </c>
      <c r="F3" s="224" t="s">
        <v>21</v>
      </c>
      <c r="G3" s="424" cm="1">
        <f t="array" ref="G3:G11">_xlfn.UNIQUE(Palpaciones[Fecha])</f>
        <v>43273</v>
      </c>
      <c r="H3" s="117"/>
      <c r="I3" s="118"/>
      <c r="J3" s="286" t="s">
        <v>12</v>
      </c>
      <c r="K3" s="289">
        <v>45836</v>
      </c>
      <c r="L3" s="118"/>
      <c r="M3" s="7">
        <f ca="1">TODAY()</f>
        <v>46087</v>
      </c>
      <c r="N3"/>
      <c r="O3"/>
      <c r="P3"/>
      <c r="Q3"/>
      <c r="S3"/>
    </row>
    <row r="4" spans="1:19" x14ac:dyDescent="0.25">
      <c r="A4" s="223">
        <v>43273</v>
      </c>
      <c r="B4" s="220">
        <v>95</v>
      </c>
      <c r="C4" s="135" t="s">
        <v>3</v>
      </c>
      <c r="D4" s="216" t="s">
        <v>7</v>
      </c>
      <c r="E4" s="137"/>
      <c r="F4" s="226" t="s">
        <v>14</v>
      </c>
      <c r="G4" s="424">
        <v>44254</v>
      </c>
      <c r="H4" s="287" t="str" cm="1">
        <f t="array" ref="H4:L4">B3:F3</f>
        <v xml:space="preserve">No. </v>
      </c>
      <c r="I4" s="287" t="str">
        <v>Nombre</v>
      </c>
      <c r="J4" s="287" t="str">
        <v>Palpacion</v>
      </c>
      <c r="K4" s="288" t="str">
        <v>Observaciones</v>
      </c>
      <c r="L4" s="287" t="str">
        <v>Veterinario</v>
      </c>
      <c r="M4" t="s">
        <v>11</v>
      </c>
      <c r="N4"/>
      <c r="O4"/>
      <c r="P4"/>
      <c r="Q4"/>
      <c r="S4"/>
    </row>
    <row r="5" spans="1:19" x14ac:dyDescent="0.25">
      <c r="A5" s="222">
        <v>43273</v>
      </c>
      <c r="B5" s="219">
        <v>96</v>
      </c>
      <c r="C5" s="136" t="s">
        <v>118</v>
      </c>
      <c r="D5" s="215" t="s">
        <v>8</v>
      </c>
      <c r="E5" s="138"/>
      <c r="F5" s="225" t="s">
        <v>14</v>
      </c>
      <c r="G5" s="424">
        <v>44391</v>
      </c>
      <c r="H5" s="284" t="str" cm="1">
        <f t="array" ref="H5:L28">_xlfn._xlws.FILTER(CHOOSE({1,2,3,4,5},Palpaciones[No. ],Palpaciones[Nombre],Palpaciones[Palpacion],Palpaciones[Observaciones],Palpaciones[Veterinario]),Palpaciones[Fecha]=K3,"No Hay Registros")</f>
        <v>15106</v>
      </c>
      <c r="I5" s="284" t="str">
        <v>LA YEGUA</v>
      </c>
      <c r="J5" s="44">
        <v>4</v>
      </c>
      <c r="K5" s="44">
        <v>0</v>
      </c>
      <c r="L5" s="284" t="str">
        <v>Monserrat</v>
      </c>
      <c r="M5" s="429">
        <f>(283-(J5*30))+$K$3</f>
        <v>45999</v>
      </c>
      <c r="N5"/>
      <c r="O5"/>
      <c r="P5"/>
      <c r="Q5"/>
      <c r="S5"/>
    </row>
    <row r="6" spans="1:19" x14ac:dyDescent="0.25">
      <c r="A6" s="223">
        <v>43273</v>
      </c>
      <c r="B6" s="220">
        <v>97</v>
      </c>
      <c r="C6" s="135" t="s">
        <v>4</v>
      </c>
      <c r="D6" s="216" t="s">
        <v>9</v>
      </c>
      <c r="E6" s="137"/>
      <c r="F6" s="226" t="s">
        <v>14</v>
      </c>
      <c r="G6" s="424">
        <v>44806</v>
      </c>
      <c r="H6" s="284" t="str">
        <v>15701</v>
      </c>
      <c r="I6" s="284" t="str">
        <v>OJOS NEGROS</v>
      </c>
      <c r="J6" s="44">
        <v>2</v>
      </c>
      <c r="K6" s="44">
        <v>0</v>
      </c>
      <c r="L6" s="284" t="str">
        <v>Monserrat</v>
      </c>
      <c r="M6" s="429">
        <f t="shared" ref="M6:M18" si="0">(283-(J6*30))+$K$3</f>
        <v>46059</v>
      </c>
      <c r="N6"/>
      <c r="O6"/>
      <c r="P6"/>
      <c r="Q6"/>
      <c r="S6"/>
    </row>
    <row r="7" spans="1:19" x14ac:dyDescent="0.25">
      <c r="A7" s="222">
        <v>43273</v>
      </c>
      <c r="B7" s="219">
        <v>99</v>
      </c>
      <c r="C7" s="136" t="s">
        <v>6</v>
      </c>
      <c r="D7" s="215" t="s">
        <v>10</v>
      </c>
      <c r="E7" s="138"/>
      <c r="F7" s="225" t="s">
        <v>14</v>
      </c>
      <c r="G7" s="424">
        <v>45198</v>
      </c>
      <c r="H7" s="284" t="str">
        <v>5114</v>
      </c>
      <c r="I7" s="284" t="str">
        <v>LUNA</v>
      </c>
      <c r="J7" s="44" t="str">
        <v>VACIA</v>
      </c>
      <c r="K7" s="44" t="str">
        <v>Ciclando</v>
      </c>
      <c r="L7" s="284" t="str">
        <v>Monserrat</v>
      </c>
      <c r="M7" s="429"/>
      <c r="N7"/>
      <c r="O7"/>
      <c r="P7"/>
      <c r="Q7"/>
      <c r="S7"/>
    </row>
    <row r="8" spans="1:19" x14ac:dyDescent="0.25">
      <c r="A8" s="223">
        <v>44254</v>
      </c>
      <c r="B8" s="220">
        <v>95</v>
      </c>
      <c r="C8" s="135" t="s">
        <v>3</v>
      </c>
      <c r="D8" s="216" t="s">
        <v>104</v>
      </c>
      <c r="E8" s="137"/>
      <c r="F8" s="226" t="s">
        <v>105</v>
      </c>
      <c r="G8" s="424">
        <v>45268</v>
      </c>
      <c r="H8" s="284" t="str">
        <v>1650</v>
      </c>
      <c r="I8" s="284" t="str">
        <v>MARIANA</v>
      </c>
      <c r="J8" s="44">
        <v>3</v>
      </c>
      <c r="K8" s="44">
        <v>0</v>
      </c>
      <c r="L8" s="284" t="str">
        <v>Monserrat</v>
      </c>
      <c r="M8" s="429"/>
      <c r="N8"/>
      <c r="O8"/>
      <c r="P8"/>
      <c r="Q8"/>
      <c r="S8"/>
    </row>
    <row r="9" spans="1:19" x14ac:dyDescent="0.25">
      <c r="A9" s="222">
        <v>44254</v>
      </c>
      <c r="B9" s="219">
        <v>18001</v>
      </c>
      <c r="C9" s="136" t="s">
        <v>103</v>
      </c>
      <c r="D9" s="215">
        <v>2</v>
      </c>
      <c r="E9" s="138"/>
      <c r="F9" s="225" t="s">
        <v>105</v>
      </c>
      <c r="G9" s="424">
        <v>45525</v>
      </c>
      <c r="H9" s="284" t="str">
        <v>184585</v>
      </c>
      <c r="I9" s="284" t="str">
        <v>TRANCO LARGO</v>
      </c>
      <c r="J9" s="44">
        <v>6</v>
      </c>
      <c r="K9" s="44">
        <v>0</v>
      </c>
      <c r="L9" s="284" t="str">
        <v>Monserrat</v>
      </c>
      <c r="M9" s="429">
        <f t="shared" si="0"/>
        <v>45939</v>
      </c>
      <c r="N9"/>
      <c r="O9"/>
      <c r="P9"/>
      <c r="Q9"/>
      <c r="S9"/>
    </row>
    <row r="10" spans="1:19" x14ac:dyDescent="0.25">
      <c r="A10" s="223">
        <v>44254</v>
      </c>
      <c r="B10" s="220">
        <v>99</v>
      </c>
      <c r="C10" s="135" t="s">
        <v>6</v>
      </c>
      <c r="D10" s="216" t="s">
        <v>104</v>
      </c>
      <c r="E10" s="137"/>
      <c r="F10" s="226" t="s">
        <v>105</v>
      </c>
      <c r="G10" s="546">
        <v>45836</v>
      </c>
      <c r="H10" s="284" t="str">
        <v>96</v>
      </c>
      <c r="I10" s="284" t="str">
        <v>Morena</v>
      </c>
      <c r="J10" s="44" t="str">
        <v>VACIA</v>
      </c>
      <c r="K10" s="44" t="str">
        <v>C.L PERSISTENTE O.D</v>
      </c>
      <c r="L10" s="284" t="str">
        <v>Monserrat</v>
      </c>
      <c r="M10" s="429"/>
      <c r="N10"/>
      <c r="O10"/>
      <c r="P10"/>
      <c r="Q10"/>
      <c r="S10"/>
    </row>
    <row r="11" spans="1:19" x14ac:dyDescent="0.25">
      <c r="A11" s="222">
        <v>44254</v>
      </c>
      <c r="B11" s="219">
        <v>97</v>
      </c>
      <c r="C11" s="136" t="s">
        <v>4</v>
      </c>
      <c r="D11" s="215" t="s">
        <v>104</v>
      </c>
      <c r="E11" s="138"/>
      <c r="F11" s="225" t="s">
        <v>105</v>
      </c>
      <c r="G11" s="117">
        <v>0</v>
      </c>
      <c r="H11" s="284" t="str">
        <v>97</v>
      </c>
      <c r="I11" s="284" t="str">
        <v>La Negra</v>
      </c>
      <c r="J11" s="44">
        <v>1.5</v>
      </c>
      <c r="K11" s="44">
        <v>0</v>
      </c>
      <c r="L11" s="284" t="str">
        <v>Monserrat</v>
      </c>
      <c r="M11" s="429">
        <f t="shared" si="0"/>
        <v>46074</v>
      </c>
      <c r="N11" s="7"/>
      <c r="O11"/>
      <c r="P11"/>
      <c r="Q11"/>
      <c r="S11"/>
    </row>
    <row r="12" spans="1:19" x14ac:dyDescent="0.25">
      <c r="A12" s="223">
        <v>44254</v>
      </c>
      <c r="B12" s="220">
        <v>96</v>
      </c>
      <c r="C12" s="135" t="s">
        <v>118</v>
      </c>
      <c r="D12" s="216">
        <v>4</v>
      </c>
      <c r="E12" s="137"/>
      <c r="F12" s="226" t="s">
        <v>105</v>
      </c>
      <c r="G12" s="117"/>
      <c r="H12" s="284" t="str">
        <v>18004</v>
      </c>
      <c r="I12" s="284" t="str">
        <v>Esperanza</v>
      </c>
      <c r="J12" s="44">
        <v>6</v>
      </c>
      <c r="K12" s="44">
        <v>0</v>
      </c>
      <c r="L12" s="284" t="str">
        <v>Monserrat</v>
      </c>
      <c r="M12" s="429">
        <f t="shared" si="0"/>
        <v>45939</v>
      </c>
      <c r="N12"/>
      <c r="O12"/>
      <c r="P12"/>
      <c r="Q12"/>
      <c r="S12"/>
    </row>
    <row r="13" spans="1:19" x14ac:dyDescent="0.25">
      <c r="A13" s="222">
        <v>44254</v>
      </c>
      <c r="B13" s="219">
        <v>18002</v>
      </c>
      <c r="C13" s="136" t="s">
        <v>117</v>
      </c>
      <c r="D13" s="215">
        <v>6</v>
      </c>
      <c r="E13" s="138"/>
      <c r="F13" s="225" t="s">
        <v>105</v>
      </c>
      <c r="G13" s="117"/>
      <c r="H13" s="284" t="str">
        <v>020193</v>
      </c>
      <c r="I13" s="284" t="str">
        <v>Maria Jose</v>
      </c>
      <c r="J13" s="44">
        <v>1.5</v>
      </c>
      <c r="K13" s="44">
        <v>0</v>
      </c>
      <c r="L13" s="284" t="str">
        <v>Monserrat</v>
      </c>
      <c r="M13" s="429">
        <f t="shared" si="0"/>
        <v>46074</v>
      </c>
      <c r="N13"/>
      <c r="O13"/>
      <c r="P13"/>
      <c r="Q13"/>
      <c r="S13"/>
    </row>
    <row r="14" spans="1:19" x14ac:dyDescent="0.25">
      <c r="A14" s="223">
        <v>44391</v>
      </c>
      <c r="B14" s="220">
        <v>99</v>
      </c>
      <c r="C14" s="135" t="s">
        <v>6</v>
      </c>
      <c r="D14" s="216">
        <v>4.5</v>
      </c>
      <c r="E14" s="137"/>
      <c r="F14" s="226" t="s">
        <v>116</v>
      </c>
      <c r="G14" s="117"/>
      <c r="H14" s="284" t="str">
        <v>20010</v>
      </c>
      <c r="I14" s="284" t="str">
        <v>Carapachita</v>
      </c>
      <c r="J14" s="44">
        <v>2.66</v>
      </c>
      <c r="K14" s="44">
        <v>0</v>
      </c>
      <c r="L14" s="284" t="str">
        <v>Monserrat</v>
      </c>
      <c r="M14" s="429">
        <f t="shared" si="0"/>
        <v>46039.199999999997</v>
      </c>
      <c r="N14"/>
      <c r="O14"/>
      <c r="P14"/>
      <c r="Q14"/>
      <c r="S14"/>
    </row>
    <row r="15" spans="1:19" x14ac:dyDescent="0.25">
      <c r="A15" s="222">
        <v>44391</v>
      </c>
      <c r="B15" s="219">
        <v>97</v>
      </c>
      <c r="C15" s="136" t="s">
        <v>4</v>
      </c>
      <c r="D15" s="215">
        <v>7.5</v>
      </c>
      <c r="E15" s="138"/>
      <c r="F15" s="225" t="s">
        <v>116</v>
      </c>
      <c r="G15" s="117"/>
      <c r="H15" s="284" t="str">
        <v>20011</v>
      </c>
      <c r="I15" s="284" t="str">
        <v>Blanquita2</v>
      </c>
      <c r="J15" s="44">
        <v>7</v>
      </c>
      <c r="K15" s="44" t="str">
        <v>H Secar</v>
      </c>
      <c r="L15" s="284" t="str">
        <v>Monserrat</v>
      </c>
      <c r="M15" s="429">
        <f t="shared" si="0"/>
        <v>45909</v>
      </c>
      <c r="N15"/>
      <c r="O15"/>
      <c r="P15"/>
      <c r="Q15"/>
      <c r="S15"/>
    </row>
    <row r="16" spans="1:19" x14ac:dyDescent="0.25">
      <c r="A16" s="223">
        <v>44806</v>
      </c>
      <c r="B16" s="220">
        <v>18002</v>
      </c>
      <c r="C16" s="135" t="s">
        <v>117</v>
      </c>
      <c r="D16" s="216" t="s">
        <v>143</v>
      </c>
      <c r="E16" s="137"/>
      <c r="F16" s="226" t="s">
        <v>447</v>
      </c>
      <c r="G16" s="117"/>
      <c r="H16" s="284" t="str">
        <v>Y001</v>
      </c>
      <c r="I16" s="284" t="str">
        <v>Patanemo Cordero</v>
      </c>
      <c r="J16" s="44">
        <v>6</v>
      </c>
      <c r="K16" s="44" t="str">
        <v>Secar</v>
      </c>
      <c r="L16" s="284" t="str">
        <v>Monserrat</v>
      </c>
      <c r="M16" s="429">
        <f t="shared" si="0"/>
        <v>45939</v>
      </c>
      <c r="N16"/>
      <c r="O16"/>
      <c r="P16"/>
      <c r="Q16"/>
      <c r="S16"/>
    </row>
    <row r="17" spans="1:20" x14ac:dyDescent="0.25">
      <c r="A17" s="222">
        <v>44806</v>
      </c>
      <c r="B17" s="219" t="s">
        <v>113</v>
      </c>
      <c r="C17" s="136" t="s">
        <v>134</v>
      </c>
      <c r="D17" s="215">
        <v>1.5</v>
      </c>
      <c r="E17" s="138"/>
      <c r="F17" s="225" t="s">
        <v>447</v>
      </c>
      <c r="G17" s="117"/>
      <c r="H17" s="284" t="str">
        <v>23200</v>
      </c>
      <c r="I17" s="284" t="str">
        <v>Winder 01</v>
      </c>
      <c r="J17" s="44">
        <v>2</v>
      </c>
      <c r="K17" s="44">
        <v>0</v>
      </c>
      <c r="L17" s="284" t="str">
        <v>Monserrat</v>
      </c>
      <c r="M17" s="429">
        <f t="shared" si="0"/>
        <v>46059</v>
      </c>
      <c r="N17"/>
      <c r="O17"/>
      <c r="P17"/>
      <c r="Q17"/>
      <c r="S17"/>
    </row>
    <row r="18" spans="1:20" x14ac:dyDescent="0.25">
      <c r="A18" s="223">
        <v>44806</v>
      </c>
      <c r="B18" s="220">
        <v>99</v>
      </c>
      <c r="C18" s="135" t="s">
        <v>6</v>
      </c>
      <c r="D18" s="216" t="s">
        <v>145</v>
      </c>
      <c r="E18" s="137"/>
      <c r="F18" s="226" t="s">
        <v>447</v>
      </c>
      <c r="G18" s="117"/>
      <c r="H18" s="284" t="str">
        <v>23201</v>
      </c>
      <c r="I18" s="284" t="str">
        <v>MASSIEL</v>
      </c>
      <c r="J18" s="44">
        <v>3</v>
      </c>
      <c r="K18" s="44">
        <v>0</v>
      </c>
      <c r="L18" s="284" t="str">
        <v>Monserrat</v>
      </c>
      <c r="M18" s="429">
        <f t="shared" si="0"/>
        <v>46029</v>
      </c>
      <c r="N18"/>
      <c r="O18"/>
      <c r="P18"/>
      <c r="Q18"/>
      <c r="S18"/>
    </row>
    <row r="19" spans="1:20" x14ac:dyDescent="0.25">
      <c r="A19" s="222">
        <v>44806</v>
      </c>
      <c r="B19" s="219" t="s">
        <v>140</v>
      </c>
      <c r="C19" s="136" t="s">
        <v>127</v>
      </c>
      <c r="D19" s="215">
        <v>4</v>
      </c>
      <c r="E19" s="138"/>
      <c r="F19" s="225" t="s">
        <v>447</v>
      </c>
      <c r="G19" s="117"/>
      <c r="H19" s="284" t="str">
        <v>R10</v>
      </c>
      <c r="I19" s="284" t="str">
        <v>Adriana Barreto</v>
      </c>
      <c r="J19" s="44" t="str">
        <v>VACIA</v>
      </c>
      <c r="K19" s="44" t="str">
        <v>Ciclando</v>
      </c>
      <c r="L19" s="284" t="str">
        <v>Monserrat</v>
      </c>
      <c r="M19"/>
      <c r="N19"/>
      <c r="O19"/>
      <c r="P19"/>
      <c r="Q19"/>
      <c r="S19"/>
    </row>
    <row r="20" spans="1:20" x14ac:dyDescent="0.25">
      <c r="A20" s="223">
        <v>44806</v>
      </c>
      <c r="B20" s="220">
        <v>96</v>
      </c>
      <c r="C20" s="135" t="s">
        <v>118</v>
      </c>
      <c r="D20" s="216" t="s">
        <v>145</v>
      </c>
      <c r="E20" s="137"/>
      <c r="F20" s="226" t="s">
        <v>447</v>
      </c>
      <c r="G20" s="117"/>
      <c r="H20" s="284" t="str">
        <v>R02</v>
      </c>
      <c r="I20" s="284" t="str">
        <v>Paola Barreto</v>
      </c>
      <c r="J20" s="44" t="str">
        <v>VACIA</v>
      </c>
      <c r="K20" s="44" t="str">
        <v>Ciclando</v>
      </c>
      <c r="L20" s="284" t="str">
        <v>Monserrat</v>
      </c>
      <c r="M20"/>
      <c r="N20"/>
      <c r="O20"/>
      <c r="P20"/>
      <c r="Q20"/>
      <c r="S20"/>
    </row>
    <row r="21" spans="1:20" x14ac:dyDescent="0.25">
      <c r="A21" s="222">
        <v>44806</v>
      </c>
      <c r="B21" s="219" t="s">
        <v>114</v>
      </c>
      <c r="C21" s="136" t="s">
        <v>133</v>
      </c>
      <c r="D21" s="215" t="s">
        <v>146</v>
      </c>
      <c r="E21" s="138"/>
      <c r="F21" s="225" t="s">
        <v>447</v>
      </c>
      <c r="G21" s="117"/>
      <c r="H21" s="284" t="str">
        <v>R03</v>
      </c>
      <c r="I21" s="284" t="str">
        <v>Angelica Barreto</v>
      </c>
      <c r="J21" s="44" t="str">
        <v>VACIA</v>
      </c>
      <c r="K21" s="44" t="str">
        <v>ANESTRO</v>
      </c>
      <c r="L21" s="284" t="str">
        <v>Monserrat</v>
      </c>
      <c r="M21"/>
      <c r="N21"/>
      <c r="O21"/>
      <c r="P21"/>
      <c r="Q21"/>
      <c r="S21"/>
    </row>
    <row r="22" spans="1:20" x14ac:dyDescent="0.25">
      <c r="A22" s="223">
        <v>45198</v>
      </c>
      <c r="B22" s="220" t="s">
        <v>188</v>
      </c>
      <c r="C22" s="135" t="s">
        <v>201</v>
      </c>
      <c r="D22" s="216" t="s">
        <v>411</v>
      </c>
      <c r="E22" s="137" t="s">
        <v>412</v>
      </c>
      <c r="F22" s="226" t="s">
        <v>447</v>
      </c>
      <c r="G22" s="117"/>
      <c r="H22" s="284" t="str">
        <v>R04</v>
      </c>
      <c r="I22" s="284" t="str">
        <v>PEINETA Barreto</v>
      </c>
      <c r="J22" s="44" t="str">
        <v>VACIA</v>
      </c>
      <c r="K22" s="44" t="str">
        <v>Rpard. B.INVoluc</v>
      </c>
      <c r="L22" s="284" t="str">
        <v>Monserrat</v>
      </c>
      <c r="M22"/>
      <c r="N22"/>
      <c r="O22"/>
      <c r="P22"/>
      <c r="Q22"/>
      <c r="S22"/>
    </row>
    <row r="23" spans="1:20" x14ac:dyDescent="0.25">
      <c r="A23" s="222">
        <v>45198</v>
      </c>
      <c r="B23" s="219" t="s">
        <v>184</v>
      </c>
      <c r="C23" s="136" t="s">
        <v>197</v>
      </c>
      <c r="D23" s="215" t="s">
        <v>411</v>
      </c>
      <c r="E23" s="138" t="s">
        <v>413</v>
      </c>
      <c r="F23" s="225" t="s">
        <v>447</v>
      </c>
      <c r="G23" s="117"/>
      <c r="H23" s="284" t="str">
        <v>R06</v>
      </c>
      <c r="I23" s="284" t="str">
        <v>Totumita Barreto</v>
      </c>
      <c r="J23" s="44">
        <v>9</v>
      </c>
      <c r="K23" s="44">
        <v>0</v>
      </c>
      <c r="L23" s="284" t="str">
        <v>Monserrat</v>
      </c>
      <c r="M23"/>
      <c r="N23"/>
      <c r="O23"/>
      <c r="P23"/>
      <c r="Q23"/>
      <c r="S23"/>
    </row>
    <row r="24" spans="1:20" x14ac:dyDescent="0.25">
      <c r="A24" s="223">
        <v>45198</v>
      </c>
      <c r="B24" s="220" t="s">
        <v>193</v>
      </c>
      <c r="C24" s="135" t="s">
        <v>206</v>
      </c>
      <c r="D24" s="216" t="s">
        <v>411</v>
      </c>
      <c r="E24" s="137" t="s">
        <v>413</v>
      </c>
      <c r="F24" s="226" t="s">
        <v>447</v>
      </c>
      <c r="G24" s="117"/>
      <c r="H24" s="284" t="str">
        <v>R07</v>
      </c>
      <c r="I24" s="284" t="str">
        <v>Chocolate Barreto</v>
      </c>
      <c r="J24" s="44">
        <v>9</v>
      </c>
      <c r="K24" s="44">
        <v>0</v>
      </c>
      <c r="L24" s="284" t="str">
        <v>Monserrat</v>
      </c>
      <c r="M24"/>
      <c r="N24"/>
      <c r="O24"/>
      <c r="P24"/>
      <c r="Q24"/>
      <c r="S24"/>
    </row>
    <row r="25" spans="1:20" x14ac:dyDescent="0.25">
      <c r="A25" s="222">
        <v>45198</v>
      </c>
      <c r="B25" s="219" t="s">
        <v>304</v>
      </c>
      <c r="C25" s="136" t="s">
        <v>305</v>
      </c>
      <c r="D25" s="215" t="s">
        <v>411</v>
      </c>
      <c r="E25" s="138" t="s">
        <v>413</v>
      </c>
      <c r="F25" s="225" t="s">
        <v>447</v>
      </c>
      <c r="G25" s="117"/>
      <c r="H25" s="284" t="str">
        <v>23032</v>
      </c>
      <c r="I25" s="284" t="str">
        <v>H DE  TRANCO LARGO</v>
      </c>
      <c r="J25" s="44" t="str">
        <v>VACIA</v>
      </c>
      <c r="K25" s="44" t="str">
        <v>ANESTRO</v>
      </c>
      <c r="L25" s="284" t="str">
        <v>Monserrat</v>
      </c>
      <c r="M25"/>
      <c r="N25"/>
      <c r="O25"/>
      <c r="P25"/>
      <c r="Q25"/>
      <c r="S25"/>
    </row>
    <row r="26" spans="1:20" s="117" customFormat="1" x14ac:dyDescent="0.25">
      <c r="A26" s="223">
        <v>45198</v>
      </c>
      <c r="B26" s="220" t="s">
        <v>306</v>
      </c>
      <c r="C26" s="135" t="s">
        <v>202</v>
      </c>
      <c r="D26" s="216" t="s">
        <v>411</v>
      </c>
      <c r="E26" s="137" t="s">
        <v>413</v>
      </c>
      <c r="F26" s="226" t="s">
        <v>447</v>
      </c>
      <c r="H26" s="117" t="str">
        <v>23034</v>
      </c>
      <c r="I26" s="117" t="str">
        <v>H DE  LA YEGUA</v>
      </c>
      <c r="J26" s="118" t="str">
        <v>VACIA</v>
      </c>
      <c r="K26" s="118" t="str">
        <v>Ciclando</v>
      </c>
      <c r="L26" s="118" t="str">
        <v>Monserrat</v>
      </c>
      <c r="M26" s="118"/>
      <c r="N26" s="118"/>
      <c r="O26" s="118"/>
      <c r="P26" s="118"/>
      <c r="Q26" s="207"/>
      <c r="R26" s="118"/>
      <c r="T26" s="118"/>
    </row>
    <row r="27" spans="1:20" s="117" customFormat="1" x14ac:dyDescent="0.25">
      <c r="A27" s="222">
        <v>45198</v>
      </c>
      <c r="B27" s="219" t="s">
        <v>114</v>
      </c>
      <c r="C27" s="136" t="s">
        <v>303</v>
      </c>
      <c r="D27" s="215" t="s">
        <v>411</v>
      </c>
      <c r="E27" s="138" t="s">
        <v>413</v>
      </c>
      <c r="F27" s="225" t="s">
        <v>447</v>
      </c>
      <c r="H27" s="117" t="str">
        <v>23028</v>
      </c>
      <c r="I27" s="117" t="str">
        <v>H DE  Toncha</v>
      </c>
      <c r="J27" s="117" t="str">
        <v>VACIA</v>
      </c>
      <c r="K27" s="117" t="str">
        <v>Ciclando</v>
      </c>
      <c r="L27" s="117" t="str">
        <v>Monserrat</v>
      </c>
      <c r="N27" s="118"/>
      <c r="O27" s="118"/>
      <c r="P27" s="118"/>
      <c r="Q27" s="207"/>
    </row>
    <row r="28" spans="1:20" s="117" customFormat="1" x14ac:dyDescent="0.25">
      <c r="A28" s="223">
        <v>45198</v>
      </c>
      <c r="B28" s="220" t="s">
        <v>380</v>
      </c>
      <c r="C28" s="135" t="s">
        <v>410</v>
      </c>
      <c r="D28" s="216" t="s">
        <v>411</v>
      </c>
      <c r="E28" s="137" t="s">
        <v>412</v>
      </c>
      <c r="F28" s="226" t="s">
        <v>447</v>
      </c>
      <c r="H28" s="428" t="str">
        <v>23026</v>
      </c>
      <c r="I28" s="428" t="str">
        <v>H DE  Estrella</v>
      </c>
      <c r="J28" s="428" t="str">
        <v>VACIA</v>
      </c>
      <c r="K28" s="428" t="str">
        <v>Ciclando</v>
      </c>
      <c r="L28" s="428" t="str">
        <v>Monserrat</v>
      </c>
      <c r="M28" s="428"/>
      <c r="N28" s="118"/>
      <c r="O28" s="118"/>
      <c r="P28" s="118"/>
      <c r="Q28" s="207"/>
    </row>
    <row r="29" spans="1:20" s="117" customFormat="1" x14ac:dyDescent="0.25">
      <c r="A29" s="222">
        <v>45198</v>
      </c>
      <c r="B29" s="219" t="s">
        <v>424</v>
      </c>
      <c r="C29" s="136" t="s">
        <v>6</v>
      </c>
      <c r="D29" s="215" t="s">
        <v>411</v>
      </c>
      <c r="E29" s="138"/>
      <c r="F29" s="225" t="s">
        <v>447</v>
      </c>
      <c r="H29" s="428"/>
      <c r="I29" s="428"/>
      <c r="J29" s="428"/>
      <c r="K29" s="428"/>
      <c r="L29" s="428"/>
      <c r="M29" s="430"/>
      <c r="N29" s="118"/>
      <c r="O29" s="118"/>
      <c r="P29" s="118"/>
      <c r="Q29" s="207"/>
    </row>
    <row r="30" spans="1:20" s="117" customFormat="1" x14ac:dyDescent="0.25">
      <c r="A30" s="223">
        <v>45198</v>
      </c>
      <c r="B30" s="220" t="s">
        <v>457</v>
      </c>
      <c r="C30" s="135" t="s">
        <v>415</v>
      </c>
      <c r="D30" s="216" t="s">
        <v>411</v>
      </c>
      <c r="E30" s="137"/>
      <c r="F30" s="226" t="s">
        <v>447</v>
      </c>
      <c r="H30" s="428"/>
      <c r="I30" s="428"/>
      <c r="J30" s="428"/>
      <c r="K30" s="428"/>
      <c r="L30" s="428"/>
      <c r="M30" s="430"/>
      <c r="N30" s="118"/>
      <c r="O30" s="118"/>
      <c r="P30" s="118"/>
      <c r="Q30" s="207"/>
    </row>
    <row r="31" spans="1:20" s="117" customFormat="1" x14ac:dyDescent="0.25">
      <c r="A31" s="222">
        <v>45198</v>
      </c>
      <c r="B31" s="219" t="s">
        <v>309</v>
      </c>
      <c r="C31" s="136" t="s">
        <v>310</v>
      </c>
      <c r="D31" s="215">
        <v>8.5</v>
      </c>
      <c r="E31" s="138"/>
      <c r="F31" s="225" t="s">
        <v>447</v>
      </c>
      <c r="H31" s="428"/>
      <c r="I31" s="428"/>
      <c r="J31" s="428"/>
      <c r="K31" s="428"/>
      <c r="L31" s="428"/>
      <c r="M31" s="430"/>
      <c r="N31" s="118"/>
      <c r="O31" s="118"/>
      <c r="P31" s="118"/>
      <c r="Q31" s="207"/>
    </row>
    <row r="32" spans="1:20" s="117" customFormat="1" x14ac:dyDescent="0.25">
      <c r="A32" s="223">
        <v>45198</v>
      </c>
      <c r="B32" s="220" t="s">
        <v>475</v>
      </c>
      <c r="C32" s="135" t="s">
        <v>308</v>
      </c>
      <c r="D32" s="216">
        <v>8</v>
      </c>
      <c r="E32" s="137"/>
      <c r="F32" s="226" t="s">
        <v>447</v>
      </c>
      <c r="H32" s="428"/>
      <c r="I32" s="428"/>
      <c r="J32" s="428"/>
      <c r="K32" s="428"/>
      <c r="L32" s="428"/>
      <c r="M32" s="430"/>
      <c r="N32" s="118"/>
      <c r="O32" s="118"/>
      <c r="P32" s="118"/>
      <c r="Q32" s="207"/>
    </row>
    <row r="33" spans="1:19" s="117" customFormat="1" x14ac:dyDescent="0.25">
      <c r="A33" s="222">
        <v>45198</v>
      </c>
      <c r="B33" s="219" t="s">
        <v>190</v>
      </c>
      <c r="C33" s="136" t="s">
        <v>210</v>
      </c>
      <c r="D33" s="215">
        <v>8</v>
      </c>
      <c r="E33" s="138"/>
      <c r="F33" s="225" t="s">
        <v>447</v>
      </c>
      <c r="H33" s="428"/>
      <c r="I33" s="428"/>
      <c r="J33" s="428"/>
      <c r="K33" s="428"/>
      <c r="L33" s="428"/>
      <c r="M33" s="430"/>
      <c r="N33" s="118"/>
      <c r="O33" s="118"/>
      <c r="P33" s="118"/>
      <c r="Q33" s="207"/>
    </row>
    <row r="34" spans="1:19" s="117" customFormat="1" x14ac:dyDescent="0.25">
      <c r="A34" s="223">
        <v>45198</v>
      </c>
      <c r="B34" s="220" t="s">
        <v>113</v>
      </c>
      <c r="C34" s="135" t="s">
        <v>134</v>
      </c>
      <c r="D34" s="216">
        <v>7.5</v>
      </c>
      <c r="E34" s="137"/>
      <c r="F34" s="226" t="s">
        <v>447</v>
      </c>
      <c r="H34" s="428"/>
      <c r="I34" s="428"/>
      <c r="J34" s="428"/>
      <c r="K34" s="428"/>
      <c r="L34" s="428"/>
      <c r="M34" s="430"/>
      <c r="N34" s="118"/>
      <c r="O34" s="118"/>
      <c r="P34" s="118"/>
      <c r="Q34" s="207"/>
    </row>
    <row r="35" spans="1:19" s="117" customFormat="1" x14ac:dyDescent="0.25">
      <c r="A35" s="222">
        <v>45198</v>
      </c>
      <c r="B35" s="219" t="s">
        <v>196</v>
      </c>
      <c r="C35" s="136" t="s">
        <v>208</v>
      </c>
      <c r="D35" s="215">
        <v>7.5</v>
      </c>
      <c r="E35" s="138"/>
      <c r="F35" s="225" t="s">
        <v>447</v>
      </c>
      <c r="H35" s="428"/>
      <c r="I35" s="428"/>
      <c r="J35" s="428"/>
      <c r="K35" s="428"/>
      <c r="L35" s="428"/>
      <c r="M35" s="430"/>
      <c r="N35" s="118"/>
      <c r="O35" s="118"/>
      <c r="P35" s="118"/>
      <c r="Q35" s="207"/>
    </row>
    <row r="36" spans="1:19" s="117" customFormat="1" x14ac:dyDescent="0.25">
      <c r="A36" s="223">
        <v>45198</v>
      </c>
      <c r="B36" s="220" t="s">
        <v>191</v>
      </c>
      <c r="C36" s="135" t="s">
        <v>204</v>
      </c>
      <c r="D36" s="216">
        <v>6</v>
      </c>
      <c r="E36" s="137" t="s">
        <v>414</v>
      </c>
      <c r="F36" s="226" t="s">
        <v>447</v>
      </c>
      <c r="G36" s="423"/>
      <c r="H36" s="428"/>
      <c r="I36" s="428"/>
      <c r="J36" s="428"/>
      <c r="K36" s="428"/>
      <c r="L36" s="428"/>
      <c r="M36" s="430"/>
      <c r="N36" s="118"/>
      <c r="O36" s="118"/>
      <c r="P36" s="118"/>
      <c r="Q36" s="207"/>
    </row>
    <row r="37" spans="1:19" s="117" customFormat="1" x14ac:dyDescent="0.25">
      <c r="A37" s="222">
        <v>45198</v>
      </c>
      <c r="B37" s="219" t="s">
        <v>195</v>
      </c>
      <c r="C37" s="136" t="s">
        <v>207</v>
      </c>
      <c r="D37" s="215">
        <v>6</v>
      </c>
      <c r="E37" s="138"/>
      <c r="F37" s="225" t="s">
        <v>447</v>
      </c>
      <c r="H37" s="428"/>
      <c r="I37" s="428"/>
      <c r="J37" s="428"/>
      <c r="K37" s="428"/>
      <c r="L37" s="428"/>
      <c r="M37" s="430"/>
      <c r="N37" s="118"/>
      <c r="O37" s="118"/>
      <c r="P37" s="118"/>
      <c r="Q37" s="207"/>
    </row>
    <row r="38" spans="1:19" s="117" customFormat="1" x14ac:dyDescent="0.25">
      <c r="A38" s="223">
        <v>45198</v>
      </c>
      <c r="B38" s="220" t="s">
        <v>194</v>
      </c>
      <c r="C38" s="135" t="s">
        <v>209</v>
      </c>
      <c r="D38" s="216">
        <v>4.5</v>
      </c>
      <c r="E38" s="137"/>
      <c r="F38" s="226" t="s">
        <v>447</v>
      </c>
      <c r="H38" s="428"/>
      <c r="I38" s="428"/>
      <c r="J38" s="428"/>
      <c r="K38" s="428"/>
      <c r="L38" s="428"/>
      <c r="M38" s="430"/>
      <c r="N38" s="118"/>
      <c r="O38" s="118"/>
      <c r="P38" s="118"/>
      <c r="Q38" s="207"/>
    </row>
    <row r="39" spans="1:19" s="117" customFormat="1" x14ac:dyDescent="0.25">
      <c r="A39" s="222">
        <v>45198</v>
      </c>
      <c r="B39" s="219" t="s">
        <v>192</v>
      </c>
      <c r="C39" s="136" t="s">
        <v>205</v>
      </c>
      <c r="D39" s="215">
        <v>4.5</v>
      </c>
      <c r="E39" s="138"/>
      <c r="F39" s="225" t="s">
        <v>447</v>
      </c>
      <c r="H39" s="428"/>
      <c r="I39" s="428"/>
      <c r="J39" s="428"/>
      <c r="K39" s="428"/>
      <c r="L39" s="428"/>
      <c r="M39" s="430"/>
      <c r="N39" s="118"/>
      <c r="O39" s="118"/>
      <c r="P39" s="118"/>
      <c r="Q39" s="207"/>
    </row>
    <row r="40" spans="1:19" s="117" customFormat="1" x14ac:dyDescent="0.25">
      <c r="A40" s="223">
        <v>45198</v>
      </c>
      <c r="B40" s="220" t="s">
        <v>185</v>
      </c>
      <c r="C40" s="135" t="s">
        <v>198</v>
      </c>
      <c r="D40" s="216">
        <v>4.5</v>
      </c>
      <c r="E40" s="137"/>
      <c r="F40" s="226" t="s">
        <v>447</v>
      </c>
      <c r="H40" s="428"/>
      <c r="I40" s="428"/>
      <c r="J40" s="428"/>
      <c r="K40" s="428"/>
      <c r="L40" s="428"/>
      <c r="M40" s="430"/>
      <c r="N40" s="118"/>
      <c r="O40" s="118"/>
      <c r="P40" s="118"/>
      <c r="Q40" s="207"/>
    </row>
    <row r="41" spans="1:19" s="117" customFormat="1" x14ac:dyDescent="0.25">
      <c r="A41" s="222">
        <v>45198</v>
      </c>
      <c r="B41" s="219" t="s">
        <v>379</v>
      </c>
      <c r="C41" s="136" t="s">
        <v>409</v>
      </c>
      <c r="D41" s="215">
        <v>4.5</v>
      </c>
      <c r="E41" s="138"/>
      <c r="F41" s="225" t="s">
        <v>447</v>
      </c>
      <c r="H41" s="428"/>
      <c r="I41" s="428"/>
      <c r="J41" s="428"/>
      <c r="K41" s="428"/>
      <c r="L41" s="428"/>
      <c r="M41" s="430"/>
      <c r="N41" s="118"/>
      <c r="O41" s="118"/>
      <c r="P41" s="118"/>
      <c r="Q41" s="207"/>
      <c r="S41" s="118"/>
    </row>
    <row r="42" spans="1:19" s="117" customFormat="1" x14ac:dyDescent="0.25">
      <c r="A42" s="223">
        <v>45198</v>
      </c>
      <c r="B42" s="220" t="s">
        <v>187</v>
      </c>
      <c r="C42" s="135" t="s">
        <v>200</v>
      </c>
      <c r="D42" s="216">
        <v>4</v>
      </c>
      <c r="E42" s="137"/>
      <c r="F42" s="226" t="s">
        <v>447</v>
      </c>
      <c r="H42" s="428"/>
      <c r="I42" s="428"/>
      <c r="J42" s="428"/>
      <c r="K42" s="428"/>
      <c r="L42" s="428"/>
      <c r="M42" s="430"/>
      <c r="N42" s="118"/>
      <c r="O42" s="118"/>
      <c r="P42" s="118"/>
      <c r="Q42" s="207"/>
      <c r="S42" s="118"/>
    </row>
    <row r="43" spans="1:19" s="117" customFormat="1" x14ac:dyDescent="0.25">
      <c r="A43" s="222">
        <v>45268</v>
      </c>
      <c r="B43" s="219" t="s">
        <v>309</v>
      </c>
      <c r="C43" s="136" t="s">
        <v>310</v>
      </c>
      <c r="D43" s="215" t="s">
        <v>411</v>
      </c>
      <c r="E43" s="138"/>
      <c r="F43" s="225" t="s">
        <v>447</v>
      </c>
      <c r="N43" s="118"/>
      <c r="O43" s="118"/>
      <c r="P43" s="118"/>
      <c r="Q43" s="207"/>
      <c r="S43" s="118"/>
    </row>
    <row r="44" spans="1:19" s="117" customFormat="1" x14ac:dyDescent="0.25">
      <c r="A44" s="223">
        <v>45268</v>
      </c>
      <c r="B44" s="220" t="s">
        <v>304</v>
      </c>
      <c r="C44" s="135" t="s">
        <v>118</v>
      </c>
      <c r="D44" s="216" t="s">
        <v>411</v>
      </c>
      <c r="E44" s="137">
        <v>45309</v>
      </c>
      <c r="F44" s="226" t="s">
        <v>447</v>
      </c>
      <c r="I44" s="118"/>
      <c r="J44" s="118"/>
      <c r="K44" s="118"/>
      <c r="L44" s="118"/>
      <c r="N44" s="118"/>
      <c r="O44" s="118"/>
      <c r="P44" s="118"/>
      <c r="Q44" s="207"/>
      <c r="S44" s="118"/>
    </row>
    <row r="45" spans="1:19" x14ac:dyDescent="0.25">
      <c r="A45" s="222">
        <v>45268</v>
      </c>
      <c r="B45" s="219" t="s">
        <v>113</v>
      </c>
      <c r="C45" s="136" t="s">
        <v>134</v>
      </c>
      <c r="D45" s="215" t="s">
        <v>411</v>
      </c>
      <c r="E45" s="138"/>
      <c r="F45" s="225" t="s">
        <v>447</v>
      </c>
    </row>
    <row r="46" spans="1:19" x14ac:dyDescent="0.25">
      <c r="A46" s="223">
        <v>45268</v>
      </c>
      <c r="B46" s="220" t="s">
        <v>114</v>
      </c>
      <c r="C46" s="135" t="s">
        <v>133</v>
      </c>
      <c r="D46" s="216" t="s">
        <v>411</v>
      </c>
      <c r="E46" s="137"/>
      <c r="F46" s="226" t="s">
        <v>447</v>
      </c>
    </row>
    <row r="47" spans="1:19" x14ac:dyDescent="0.25">
      <c r="A47" s="222">
        <v>45268</v>
      </c>
      <c r="B47" s="219" t="s">
        <v>184</v>
      </c>
      <c r="C47" s="136" t="s">
        <v>197</v>
      </c>
      <c r="D47" s="215" t="s">
        <v>411</v>
      </c>
      <c r="E47" s="138">
        <v>45289</v>
      </c>
      <c r="F47" s="225" t="s">
        <v>447</v>
      </c>
    </row>
    <row r="48" spans="1:19" x14ac:dyDescent="0.25">
      <c r="A48" s="223">
        <v>45268</v>
      </c>
      <c r="B48" s="220" t="s">
        <v>196</v>
      </c>
      <c r="C48" s="135" t="s">
        <v>208</v>
      </c>
      <c r="D48" s="216" t="s">
        <v>411</v>
      </c>
      <c r="E48" s="137"/>
      <c r="F48" s="226" t="s">
        <v>447</v>
      </c>
    </row>
    <row r="49" spans="1:6" x14ac:dyDescent="0.25">
      <c r="A49" s="222">
        <v>45268</v>
      </c>
      <c r="B49" s="219" t="s">
        <v>378</v>
      </c>
      <c r="C49" s="136" t="s">
        <v>308</v>
      </c>
      <c r="D49" s="215" t="s">
        <v>411</v>
      </c>
      <c r="E49" s="138"/>
      <c r="F49" s="225" t="s">
        <v>447</v>
      </c>
    </row>
    <row r="50" spans="1:6" x14ac:dyDescent="0.25">
      <c r="A50" s="223">
        <v>45268</v>
      </c>
      <c r="B50" s="220" t="s">
        <v>380</v>
      </c>
      <c r="C50" s="135" t="s">
        <v>410</v>
      </c>
      <c r="D50" s="216">
        <v>2</v>
      </c>
      <c r="E50" s="137">
        <v>45196</v>
      </c>
      <c r="F50" s="226" t="s">
        <v>447</v>
      </c>
    </row>
    <row r="51" spans="1:6" x14ac:dyDescent="0.25">
      <c r="A51" s="222">
        <v>45268</v>
      </c>
      <c r="B51" s="219" t="s">
        <v>457</v>
      </c>
      <c r="C51" s="136" t="s">
        <v>415</v>
      </c>
      <c r="D51" s="215" t="s">
        <v>411</v>
      </c>
      <c r="E51" s="138">
        <v>45279</v>
      </c>
      <c r="F51" s="225" t="s">
        <v>447</v>
      </c>
    </row>
    <row r="52" spans="1:6" x14ac:dyDescent="0.25">
      <c r="A52" s="223">
        <v>45525</v>
      </c>
      <c r="B52" s="220" t="s">
        <v>184</v>
      </c>
      <c r="C52" s="135" t="s">
        <v>197</v>
      </c>
      <c r="D52" s="216">
        <v>6</v>
      </c>
      <c r="E52" s="137"/>
      <c r="F52" s="226" t="s">
        <v>594</v>
      </c>
    </row>
    <row r="53" spans="1:6" x14ac:dyDescent="0.25">
      <c r="A53" s="222">
        <v>45525</v>
      </c>
      <c r="B53" s="219" t="s">
        <v>304</v>
      </c>
      <c r="C53" s="136" t="s">
        <v>305</v>
      </c>
      <c r="D53" s="215">
        <v>6</v>
      </c>
      <c r="E53" s="138"/>
      <c r="F53" s="225" t="s">
        <v>594</v>
      </c>
    </row>
    <row r="54" spans="1:6" x14ac:dyDescent="0.25">
      <c r="A54" s="223">
        <v>45525</v>
      </c>
      <c r="B54" s="220" t="s">
        <v>114</v>
      </c>
      <c r="C54" s="135" t="s">
        <v>303</v>
      </c>
      <c r="D54" s="216" t="s">
        <v>10</v>
      </c>
      <c r="E54" s="137"/>
      <c r="F54" s="226" t="s">
        <v>594</v>
      </c>
    </row>
    <row r="55" spans="1:6" x14ac:dyDescent="0.25">
      <c r="A55" s="222">
        <v>45525</v>
      </c>
      <c r="B55" s="219" t="s">
        <v>380</v>
      </c>
      <c r="C55" s="136" t="s">
        <v>410</v>
      </c>
      <c r="D55" s="215" t="s">
        <v>104</v>
      </c>
      <c r="E55" s="138" t="s">
        <v>593</v>
      </c>
      <c r="F55" s="225" t="s">
        <v>594</v>
      </c>
    </row>
    <row r="56" spans="1:6" x14ac:dyDescent="0.25">
      <c r="A56" s="223">
        <v>45525</v>
      </c>
      <c r="B56" s="220" t="s">
        <v>457</v>
      </c>
      <c r="C56" s="135" t="s">
        <v>415</v>
      </c>
      <c r="D56" s="216">
        <v>6</v>
      </c>
      <c r="E56" s="137"/>
      <c r="F56" s="226" t="s">
        <v>594</v>
      </c>
    </row>
    <row r="57" spans="1:6" x14ac:dyDescent="0.25">
      <c r="A57" s="222">
        <v>45525</v>
      </c>
      <c r="B57" s="219" t="s">
        <v>309</v>
      </c>
      <c r="C57" s="136" t="s">
        <v>310</v>
      </c>
      <c r="D57" s="215">
        <v>5.5</v>
      </c>
      <c r="E57" s="138"/>
      <c r="F57" s="225" t="s">
        <v>594</v>
      </c>
    </row>
    <row r="58" spans="1:6" x14ac:dyDescent="0.25">
      <c r="A58" s="223">
        <v>45525</v>
      </c>
      <c r="B58" s="220" t="s">
        <v>378</v>
      </c>
      <c r="C58" s="135" t="s">
        <v>308</v>
      </c>
      <c r="D58" s="216">
        <v>4</v>
      </c>
      <c r="E58" s="137"/>
      <c r="F58" s="226" t="s">
        <v>594</v>
      </c>
    </row>
    <row r="59" spans="1:6" x14ac:dyDescent="0.25">
      <c r="A59" s="222">
        <v>45525</v>
      </c>
      <c r="B59" s="219" t="s">
        <v>190</v>
      </c>
      <c r="C59" s="136" t="s">
        <v>210</v>
      </c>
      <c r="D59" s="215">
        <v>5</v>
      </c>
      <c r="E59" s="138"/>
      <c r="F59" s="225" t="s">
        <v>594</v>
      </c>
    </row>
    <row r="60" spans="1:6" x14ac:dyDescent="0.25">
      <c r="A60" s="223">
        <v>45525</v>
      </c>
      <c r="B60" s="220" t="s">
        <v>113</v>
      </c>
      <c r="C60" s="135" t="s">
        <v>134</v>
      </c>
      <c r="D60" s="216">
        <v>5</v>
      </c>
      <c r="E60" s="137"/>
      <c r="F60" s="226" t="s">
        <v>594</v>
      </c>
    </row>
    <row r="61" spans="1:6" x14ac:dyDescent="0.25">
      <c r="A61" s="222">
        <v>45525</v>
      </c>
      <c r="B61" s="219" t="s">
        <v>196</v>
      </c>
      <c r="C61" s="136" t="s">
        <v>208</v>
      </c>
      <c r="D61" s="215">
        <v>7</v>
      </c>
      <c r="E61" s="138"/>
      <c r="F61" s="225" t="s">
        <v>594</v>
      </c>
    </row>
    <row r="62" spans="1:6" x14ac:dyDescent="0.25">
      <c r="A62" s="223">
        <v>45525</v>
      </c>
      <c r="B62" s="220" t="s">
        <v>191</v>
      </c>
      <c r="C62" s="135" t="s">
        <v>204</v>
      </c>
      <c r="D62" s="216">
        <v>4</v>
      </c>
      <c r="E62" s="137"/>
      <c r="F62" s="226" t="s">
        <v>594</v>
      </c>
    </row>
    <row r="63" spans="1:6" x14ac:dyDescent="0.25">
      <c r="A63" s="222">
        <v>45525</v>
      </c>
      <c r="B63" s="219" t="s">
        <v>194</v>
      </c>
      <c r="C63" s="136" t="s">
        <v>209</v>
      </c>
      <c r="D63" s="215">
        <v>7</v>
      </c>
      <c r="E63" s="138"/>
      <c r="F63" s="225" t="s">
        <v>594</v>
      </c>
    </row>
    <row r="64" spans="1:6" x14ac:dyDescent="0.25">
      <c r="A64" s="223">
        <v>45525</v>
      </c>
      <c r="B64" s="220" t="s">
        <v>185</v>
      </c>
      <c r="C64" s="541" t="str">
        <f>VLOOKUP(Palpaciones[[#This Row],[No. ]],Fichas[[Numero]:[Nombre]],2,FALSE)</f>
        <v>LUNA</v>
      </c>
      <c r="D64" s="216">
        <v>2</v>
      </c>
      <c r="E64" s="137"/>
      <c r="F64" s="226" t="s">
        <v>594</v>
      </c>
    </row>
    <row r="65" spans="1:6" x14ac:dyDescent="0.25">
      <c r="A65" s="222">
        <v>45525</v>
      </c>
      <c r="B65" s="219" t="s">
        <v>379</v>
      </c>
      <c r="C65" s="541" t="str">
        <f>VLOOKUP(Palpaciones[[#This Row],[No. ]],Fichas[[Numero]:[Nombre]],2,FALSE)</f>
        <v>Carapachita</v>
      </c>
      <c r="D65" s="215">
        <v>5</v>
      </c>
      <c r="E65" s="138"/>
      <c r="F65" s="225" t="s">
        <v>594</v>
      </c>
    </row>
    <row r="66" spans="1:6" x14ac:dyDescent="0.25">
      <c r="A66" s="539">
        <v>45836</v>
      </c>
      <c r="B66" s="540" t="s">
        <v>190</v>
      </c>
      <c r="C66" s="541" t="str">
        <f>VLOOKUP(Palpaciones[[#This Row],[No. ]],Fichas[[Numero]:[Nombre]],2,FALSE)</f>
        <v>LA YEGUA</v>
      </c>
      <c r="D66" s="542">
        <v>4</v>
      </c>
      <c r="E66" s="543"/>
      <c r="F66" s="544" t="s">
        <v>679</v>
      </c>
    </row>
    <row r="67" spans="1:6" x14ac:dyDescent="0.25">
      <c r="A67" s="539">
        <v>45836</v>
      </c>
      <c r="B67" s="540" t="s">
        <v>191</v>
      </c>
      <c r="C67" s="541" t="str">
        <f>VLOOKUP(Palpaciones[[#This Row],[No. ]],Fichas[[Numero]:[Nombre]],2,FALSE)</f>
        <v>OJOS NEGROS</v>
      </c>
      <c r="D67" s="542">
        <v>2</v>
      </c>
      <c r="E67" s="543"/>
      <c r="F67" s="544" t="s">
        <v>679</v>
      </c>
    </row>
    <row r="68" spans="1:6" x14ac:dyDescent="0.25">
      <c r="A68" s="539">
        <v>45836</v>
      </c>
      <c r="B68" s="540" t="s">
        <v>185</v>
      </c>
      <c r="C68" s="541" t="str">
        <f>VLOOKUP(Palpaciones[[#This Row],[No. ]],Fichas[[Numero]:[Nombre]],2,FALSE)</f>
        <v>LUNA</v>
      </c>
      <c r="D68" s="542" t="s">
        <v>104</v>
      </c>
      <c r="E68" s="545" t="s">
        <v>680</v>
      </c>
      <c r="F68" s="544" t="s">
        <v>679</v>
      </c>
    </row>
    <row r="69" spans="1:6" x14ac:dyDescent="0.25">
      <c r="A69" s="539">
        <v>45836</v>
      </c>
      <c r="B69" s="540" t="s">
        <v>184</v>
      </c>
      <c r="C69" s="541" t="str">
        <f>VLOOKUP(Palpaciones[[#This Row],[No. ]],Fichas[[Numero]:[Nombre]],2,FALSE)</f>
        <v>MARIANA</v>
      </c>
      <c r="D69" s="542">
        <v>3</v>
      </c>
      <c r="E69" s="543"/>
      <c r="F69" s="544" t="s">
        <v>679</v>
      </c>
    </row>
    <row r="70" spans="1:6" x14ac:dyDescent="0.25">
      <c r="A70" s="539">
        <v>45836</v>
      </c>
      <c r="B70" s="540" t="s">
        <v>196</v>
      </c>
      <c r="C70" s="541" t="str">
        <f>VLOOKUP(Palpaciones[[#This Row],[No. ]],Fichas[[Numero]:[Nombre]],2,FALSE)</f>
        <v>TRANCO LARGO</v>
      </c>
      <c r="D70" s="542">
        <v>6</v>
      </c>
      <c r="E70" s="543"/>
      <c r="F70" s="544" t="s">
        <v>679</v>
      </c>
    </row>
    <row r="71" spans="1:6" x14ac:dyDescent="0.25">
      <c r="A71" s="539">
        <v>45836</v>
      </c>
      <c r="B71" s="220" t="s">
        <v>304</v>
      </c>
      <c r="C71" s="541" t="str">
        <f>VLOOKUP(Palpaciones[[#This Row],[No. ]],Fichas[[Numero]:[Nombre]],2,FALSE)</f>
        <v>Morena</v>
      </c>
      <c r="D71" s="216" t="s">
        <v>104</v>
      </c>
      <c r="E71" s="137" t="s">
        <v>685</v>
      </c>
      <c r="F71" s="226" t="s">
        <v>679</v>
      </c>
    </row>
    <row r="72" spans="1:6" x14ac:dyDescent="0.25">
      <c r="A72" s="539">
        <v>45836</v>
      </c>
      <c r="B72" s="220" t="s">
        <v>309</v>
      </c>
      <c r="C72" s="541" t="str">
        <f>VLOOKUP(Palpaciones[[#This Row],[No. ]],Fichas[[Numero]:[Nombre]],2,FALSE)</f>
        <v>La Negra</v>
      </c>
      <c r="D72" s="216">
        <v>1.5</v>
      </c>
      <c r="E72" s="538"/>
      <c r="F72" s="226" t="s">
        <v>679</v>
      </c>
    </row>
    <row r="73" spans="1:6" x14ac:dyDescent="0.25">
      <c r="A73" s="223">
        <v>45836</v>
      </c>
      <c r="B73" s="220" t="s">
        <v>378</v>
      </c>
      <c r="C73" s="541" t="str">
        <f>VLOOKUP(Palpaciones[[#This Row],[No. ]],Fichas[[Numero]:[Nombre]],2,FALSE)</f>
        <v>Esperanza</v>
      </c>
      <c r="D73" s="216">
        <v>6</v>
      </c>
      <c r="E73" s="538"/>
      <c r="F73" s="226" t="s">
        <v>679</v>
      </c>
    </row>
    <row r="74" spans="1:6" x14ac:dyDescent="0.25">
      <c r="A74" s="539">
        <v>45836</v>
      </c>
      <c r="B74" s="540" t="s">
        <v>113</v>
      </c>
      <c r="C74" s="541" t="str">
        <f>VLOOKUP(Palpaciones[[#This Row],[No. ]],Fichas[[Numero]:[Nombre]],2,FALSE)</f>
        <v>Maria Jose</v>
      </c>
      <c r="D74" s="542">
        <v>1.5</v>
      </c>
      <c r="E74" s="543"/>
      <c r="F74" s="544" t="s">
        <v>679</v>
      </c>
    </row>
    <row r="75" spans="1:6" x14ac:dyDescent="0.25">
      <c r="A75" s="539">
        <v>45836</v>
      </c>
      <c r="B75" s="540" t="s">
        <v>379</v>
      </c>
      <c r="C75" s="541" t="str">
        <f>VLOOKUP(Palpaciones[[#This Row],[No. ]],Fichas[[Numero]:[Nombre]],2,FALSE)</f>
        <v>Carapachita</v>
      </c>
      <c r="D75" s="542">
        <v>2.66</v>
      </c>
      <c r="E75" s="543"/>
      <c r="F75" s="544" t="s">
        <v>679</v>
      </c>
    </row>
    <row r="76" spans="1:6" x14ac:dyDescent="0.25">
      <c r="A76" s="539">
        <v>45836</v>
      </c>
      <c r="B76" s="540" t="s">
        <v>380</v>
      </c>
      <c r="C76" s="541" t="str">
        <f>VLOOKUP(Palpaciones[[#This Row],[No. ]],Fichas[[Numero]:[Nombre]],2,FALSE)</f>
        <v>Blanquita2</v>
      </c>
      <c r="D76" s="542">
        <v>7</v>
      </c>
      <c r="E76" s="545" t="s">
        <v>681</v>
      </c>
      <c r="F76" s="544" t="s">
        <v>679</v>
      </c>
    </row>
    <row r="77" spans="1:6" x14ac:dyDescent="0.25">
      <c r="A77" s="539">
        <v>45836</v>
      </c>
      <c r="B77" s="540" t="s">
        <v>457</v>
      </c>
      <c r="C77" s="541" t="str">
        <f>VLOOKUP(Palpaciones[[#This Row],[No. ]],Fichas[[Numero]:[Nombre]],2,FALSE)</f>
        <v>Patanemo Cordero</v>
      </c>
      <c r="D77" s="542">
        <v>6</v>
      </c>
      <c r="E77" s="545" t="s">
        <v>682</v>
      </c>
      <c r="F77" s="544" t="s">
        <v>679</v>
      </c>
    </row>
    <row r="78" spans="1:6" x14ac:dyDescent="0.25">
      <c r="A78" s="539">
        <v>45836</v>
      </c>
      <c r="B78" s="540" t="s">
        <v>642</v>
      </c>
      <c r="C78" s="541" t="str">
        <f>VLOOKUP(Palpaciones[[#This Row],[No. ]],Fichas[[Numero]:[Nombre]],2,FALSE)</f>
        <v>Winder 01</v>
      </c>
      <c r="D78" s="542">
        <v>2</v>
      </c>
      <c r="E78" s="543"/>
      <c r="F78" s="544" t="s">
        <v>679</v>
      </c>
    </row>
    <row r="79" spans="1:6" x14ac:dyDescent="0.25">
      <c r="A79" s="539">
        <v>45836</v>
      </c>
      <c r="B79" s="540" t="s">
        <v>643</v>
      </c>
      <c r="C79" s="541" t="str">
        <f>VLOOKUP(Palpaciones[[#This Row],[No. ]],Fichas[[Numero]:[Nombre]],2,FALSE)</f>
        <v>MASSIEL</v>
      </c>
      <c r="D79" s="542">
        <v>3</v>
      </c>
      <c r="E79" s="543"/>
      <c r="F79" s="544" t="s">
        <v>679</v>
      </c>
    </row>
    <row r="80" spans="1:6" x14ac:dyDescent="0.25">
      <c r="A80" s="539">
        <v>45836</v>
      </c>
      <c r="B80" s="540" t="s">
        <v>683</v>
      </c>
      <c r="C80" s="541" t="str">
        <f>VLOOKUP(Palpaciones[[#This Row],[No. ]],Fichas[[Numero]:[Nombre]],2,FALSE)</f>
        <v>Adriana Barreto</v>
      </c>
      <c r="D80" s="542" t="s">
        <v>104</v>
      </c>
      <c r="E80" s="545" t="s">
        <v>680</v>
      </c>
      <c r="F80" s="544" t="s">
        <v>679</v>
      </c>
    </row>
    <row r="81" spans="1:6" x14ac:dyDescent="0.25">
      <c r="A81" s="539">
        <v>45836</v>
      </c>
      <c r="B81" s="540" t="s">
        <v>671</v>
      </c>
      <c r="C81" s="541" t="str">
        <f>VLOOKUP(Palpaciones[[#This Row],[No. ]],Fichas[[Numero]:[Nombre]],2,FALSE)</f>
        <v>Paola Barreto</v>
      </c>
      <c r="D81" s="542" t="s">
        <v>104</v>
      </c>
      <c r="E81" s="545" t="s">
        <v>680</v>
      </c>
      <c r="F81" s="544" t="s">
        <v>679</v>
      </c>
    </row>
    <row r="82" spans="1:6" x14ac:dyDescent="0.25">
      <c r="A82" s="539">
        <v>45836</v>
      </c>
      <c r="B82" s="540" t="s">
        <v>670</v>
      </c>
      <c r="C82" s="541" t="str">
        <f>VLOOKUP(Palpaciones[[#This Row],[No. ]],Fichas[[Numero]:[Nombre]],2,FALSE)</f>
        <v>Angelica Barreto</v>
      </c>
      <c r="D82" s="542" t="s">
        <v>104</v>
      </c>
      <c r="E82" s="545" t="s">
        <v>684</v>
      </c>
      <c r="F82" s="544" t="s">
        <v>679</v>
      </c>
    </row>
    <row r="83" spans="1:6" x14ac:dyDescent="0.25">
      <c r="A83" s="539">
        <v>45836</v>
      </c>
      <c r="B83" s="540" t="s">
        <v>673</v>
      </c>
      <c r="C83" s="541" t="str">
        <f>VLOOKUP(Palpaciones[[#This Row],[No. ]],Fichas[[Numero]:[Nombre]],2,FALSE)</f>
        <v>PEINETA Barreto</v>
      </c>
      <c r="D83" s="542" t="s">
        <v>104</v>
      </c>
      <c r="E83" s="545" t="s">
        <v>694</v>
      </c>
      <c r="F83" s="544" t="s">
        <v>679</v>
      </c>
    </row>
    <row r="84" spans="1:6" x14ac:dyDescent="0.25">
      <c r="A84" s="539">
        <v>45836</v>
      </c>
      <c r="B84" s="540" t="s">
        <v>689</v>
      </c>
      <c r="C84" s="541" t="str">
        <f>VLOOKUP(Palpaciones[[#This Row],[No. ]],Fichas[[Numero]:[Nombre]],2,FALSE)</f>
        <v>Totumita Barreto</v>
      </c>
      <c r="D84" s="216">
        <v>9</v>
      </c>
      <c r="E84" s="137"/>
      <c r="F84" s="544" t="s">
        <v>679</v>
      </c>
    </row>
    <row r="85" spans="1:6" x14ac:dyDescent="0.25">
      <c r="A85" s="539">
        <v>45836</v>
      </c>
      <c r="B85" s="540" t="s">
        <v>690</v>
      </c>
      <c r="C85" s="541" t="str">
        <f>VLOOKUP(Palpaciones[[#This Row],[No. ]],Fichas[[Numero]:[Nombre]],2,FALSE)</f>
        <v>Chocolate Barreto</v>
      </c>
      <c r="D85" s="216">
        <v>9</v>
      </c>
      <c r="E85" s="137"/>
      <c r="F85" s="544" t="s">
        <v>679</v>
      </c>
    </row>
    <row r="86" spans="1:6" x14ac:dyDescent="0.25">
      <c r="A86" s="539">
        <v>45836</v>
      </c>
      <c r="B86" s="220" t="s">
        <v>465</v>
      </c>
      <c r="C86" s="541" t="str">
        <f>VLOOKUP(Palpaciones[[#This Row],[No. ]],Fichas[[Numero]:[Nombre]],2,FALSE)</f>
        <v>H DE  TRANCO LARGO</v>
      </c>
      <c r="D86" s="216" t="s">
        <v>104</v>
      </c>
      <c r="E86" s="137" t="s">
        <v>684</v>
      </c>
      <c r="F86" s="544" t="s">
        <v>679</v>
      </c>
    </row>
    <row r="87" spans="1:6" x14ac:dyDescent="0.25">
      <c r="A87" s="539">
        <v>45836</v>
      </c>
      <c r="B87" s="220" t="s">
        <v>481</v>
      </c>
      <c r="C87" s="541" t="str">
        <f>VLOOKUP(Palpaciones[[#This Row],[No. ]],Fichas[[Numero]:[Nombre]],2,FALSE)</f>
        <v>H DE  LA YEGUA</v>
      </c>
      <c r="D87" s="216" t="s">
        <v>104</v>
      </c>
      <c r="E87" s="137" t="s">
        <v>680</v>
      </c>
      <c r="F87" s="544" t="s">
        <v>679</v>
      </c>
    </row>
    <row r="88" spans="1:6" x14ac:dyDescent="0.25">
      <c r="A88" s="539">
        <v>45836</v>
      </c>
      <c r="B88" s="220" t="s">
        <v>395</v>
      </c>
      <c r="C88" s="541" t="str">
        <f>VLOOKUP(Palpaciones[[#This Row],[No. ]],Fichas[[Numero]:[Nombre]],2,FALSE)</f>
        <v>H DE  Toncha</v>
      </c>
      <c r="D88" s="216" t="s">
        <v>104</v>
      </c>
      <c r="E88" s="137" t="s">
        <v>680</v>
      </c>
      <c r="F88" s="544" t="s">
        <v>679</v>
      </c>
    </row>
    <row r="89" spans="1:6" x14ac:dyDescent="0.25">
      <c r="A89" s="539">
        <v>45836</v>
      </c>
      <c r="B89" s="220" t="s">
        <v>392</v>
      </c>
      <c r="C89" s="541" t="str">
        <f>VLOOKUP(Palpaciones[[#This Row],[No. ]],Fichas[[Numero]:[Nombre]],2,FALSE)</f>
        <v>H DE  Estrella</v>
      </c>
      <c r="D89" s="216" t="s">
        <v>104</v>
      </c>
      <c r="E89" s="137" t="s">
        <v>680</v>
      </c>
      <c r="F89" s="544" t="s">
        <v>679</v>
      </c>
    </row>
    <row r="90" spans="1:6" x14ac:dyDescent="0.25">
      <c r="A90" s="539"/>
      <c r="B90" s="540"/>
      <c r="C90" s="541"/>
      <c r="D90" s="216"/>
      <c r="E90" s="137"/>
      <c r="F90" s="544"/>
    </row>
  </sheetData>
  <sortState xmlns:xlrd2="http://schemas.microsoft.com/office/spreadsheetml/2017/richdata2" ref="H29:M42">
    <sortCondition ref="M29:M42"/>
  </sortState>
  <phoneticPr fontId="3" type="noConversion"/>
  <dataValidations count="1">
    <dataValidation type="list" allowBlank="1" showInputMessage="1" showErrorMessage="1" sqref="K3" xr:uid="{9020E375-EF5D-46F4-83C4-0C48BE324BE2}">
      <formula1>_xlfn.ANCHORARRAY($G$3)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3:AQ771"/>
  <sheetViews>
    <sheetView topLeftCell="A743" workbookViewId="0">
      <selection activeCell="A772" sqref="A772:XFD772"/>
    </sheetView>
  </sheetViews>
  <sheetFormatPr baseColWidth="10" defaultColWidth="11.42578125" defaultRowHeight="15" x14ac:dyDescent="0.25"/>
  <cols>
    <col min="1" max="2" width="11.42578125" style="1"/>
    <col min="3" max="3" width="16.140625" style="1" customWidth="1"/>
    <col min="4" max="4" width="10.5703125" style="1" customWidth="1"/>
    <col min="5" max="5" width="0" style="1" hidden="1" customWidth="1"/>
    <col min="6" max="6" width="9.5703125" style="1" customWidth="1"/>
    <col min="7" max="7" width="17.5703125" style="1" bestFit="1" customWidth="1"/>
    <col min="8" max="8" width="22.42578125" style="1" bestFit="1" customWidth="1"/>
    <col min="9" max="13" width="8" style="1" bestFit="1" customWidth="1"/>
    <col min="14" max="17" width="7" style="1" bestFit="1" customWidth="1"/>
    <col min="18" max="19" width="8" style="1" bestFit="1" customWidth="1"/>
    <col min="20" max="20" width="12.5703125" style="1" bestFit="1" customWidth="1"/>
    <col min="21" max="21" width="9.85546875" style="1" bestFit="1" customWidth="1"/>
    <col min="22" max="22" width="7" style="1" bestFit="1" customWidth="1"/>
    <col min="23" max="23" width="12.5703125" style="1" bestFit="1" customWidth="1"/>
    <col min="24" max="24" width="8.42578125" style="1" bestFit="1" customWidth="1"/>
    <col min="25" max="25" width="4.140625" style="1" bestFit="1" customWidth="1"/>
    <col min="26" max="26" width="4.85546875" style="1" bestFit="1" customWidth="1"/>
    <col min="27" max="27" width="11.42578125" style="1" bestFit="1" customWidth="1"/>
    <col min="28" max="28" width="8.42578125" style="1" bestFit="1" customWidth="1"/>
    <col min="29" max="29" width="4.28515625" style="1" bestFit="1" customWidth="1"/>
    <col min="30" max="30" width="3.5703125" style="1" bestFit="1" customWidth="1"/>
    <col min="31" max="31" width="11.42578125" style="1" bestFit="1" customWidth="1"/>
    <col min="32" max="32" width="9.85546875" style="1" bestFit="1" customWidth="1"/>
    <col min="33" max="33" width="8.42578125" style="1" bestFit="1" customWidth="1"/>
    <col min="34" max="34" width="4" style="1" bestFit="1" customWidth="1"/>
    <col min="35" max="35" width="4.42578125" style="1" bestFit="1" customWidth="1"/>
    <col min="36" max="36" width="11.42578125" style="1" bestFit="1" customWidth="1"/>
    <col min="37" max="37" width="9.85546875" style="1" bestFit="1" customWidth="1"/>
    <col min="38" max="38" width="12.5703125" style="1" bestFit="1" customWidth="1"/>
    <col min="39" max="39" width="9.42578125" style="1" bestFit="1" customWidth="1"/>
    <col min="40" max="42" width="9.85546875" style="1" bestFit="1" customWidth="1"/>
    <col min="43" max="43" width="12.5703125" style="1" bestFit="1" customWidth="1"/>
    <col min="44" max="16384" width="11.42578125" style="1"/>
  </cols>
  <sheetData>
    <row r="3" spans="1:24" x14ac:dyDescent="0.25">
      <c r="A3" s="1" t="s">
        <v>12</v>
      </c>
      <c r="B3" s="1" t="s">
        <v>0</v>
      </c>
      <c r="C3" s="1" t="s">
        <v>1</v>
      </c>
      <c r="D3" s="1" t="s">
        <v>299</v>
      </c>
      <c r="G3" s="379" t="s">
        <v>302</v>
      </c>
      <c r="H3" s="333" t="s">
        <v>1</v>
      </c>
      <c r="I3" s="333" t="s">
        <v>300</v>
      </c>
      <c r="J3" s="333" t="s">
        <v>301</v>
      </c>
      <c r="K3" s="367" t="s">
        <v>407</v>
      </c>
      <c r="L3" s="367" t="s">
        <v>408</v>
      </c>
      <c r="M3" s="367" t="s">
        <v>427</v>
      </c>
      <c r="N3" s="367" t="s">
        <v>450</v>
      </c>
      <c r="O3" s="367" t="s">
        <v>487</v>
      </c>
      <c r="P3" s="367" t="s">
        <v>509</v>
      </c>
      <c r="Q3" s="367" t="s">
        <v>517</v>
      </c>
      <c r="R3" s="368" t="s">
        <v>542</v>
      </c>
      <c r="S3" s="368" t="s">
        <v>557</v>
      </c>
      <c r="T3" s="368" t="s">
        <v>569</v>
      </c>
      <c r="U3" s="367" t="s">
        <v>575</v>
      </c>
      <c r="V3" s="368" t="s">
        <v>576</v>
      </c>
      <c r="W3" s="368" t="s">
        <v>582</v>
      </c>
      <c r="X3" s="368" t="s">
        <v>583</v>
      </c>
    </row>
    <row r="4" spans="1:24" x14ac:dyDescent="0.25">
      <c r="A4" s="232">
        <v>45159</v>
      </c>
      <c r="B4" s="233" t="s">
        <v>191</v>
      </c>
      <c r="C4" s="234" t="s">
        <v>204</v>
      </c>
      <c r="D4" s="235">
        <v>2.2000000000000002</v>
      </c>
      <c r="G4" s="377" t="s">
        <v>191</v>
      </c>
      <c r="H4" s="353" t="s">
        <v>204</v>
      </c>
      <c r="I4" s="418">
        <f>_xlfn.MAXIFS(Partos[Fecha],Partos[Numero Vaca],G4)</f>
        <v>45649</v>
      </c>
      <c r="J4" s="85" t="s">
        <v>148</v>
      </c>
      <c r="K4" s="354">
        <v>2.2000000000000002</v>
      </c>
      <c r="L4" s="354">
        <v>0</v>
      </c>
      <c r="M4" s="354">
        <v>0</v>
      </c>
      <c r="N4" s="354">
        <v>0</v>
      </c>
      <c r="O4" s="354">
        <v>0</v>
      </c>
      <c r="P4" s="355">
        <v>5.08</v>
      </c>
      <c r="Q4" s="355">
        <v>5.75</v>
      </c>
      <c r="R4" s="356">
        <v>5.3250000000000002</v>
      </c>
      <c r="S4" s="356">
        <v>4.9499999999999993</v>
      </c>
      <c r="T4" s="356">
        <v>4.01</v>
      </c>
      <c r="U4" s="355">
        <v>4.2549999999999999</v>
      </c>
      <c r="V4" s="356">
        <v>3.3050000000000002</v>
      </c>
      <c r="W4" s="356">
        <v>3.26</v>
      </c>
      <c r="X4" s="356">
        <v>3.7850000000000001</v>
      </c>
    </row>
    <row r="5" spans="1:24" x14ac:dyDescent="0.25">
      <c r="A5" s="232">
        <v>45159</v>
      </c>
      <c r="B5" s="233" t="s">
        <v>309</v>
      </c>
      <c r="C5" s="234" t="s">
        <v>310</v>
      </c>
      <c r="D5" s="235">
        <v>1.5</v>
      </c>
      <c r="G5" s="378" t="s">
        <v>309</v>
      </c>
      <c r="H5" s="357" t="s">
        <v>310</v>
      </c>
      <c r="I5" s="418">
        <f>_xlfn.MAXIFS(Partos[Fecha],Partos[Numero Vaca],G5)</f>
        <v>45638</v>
      </c>
      <c r="J5" s="324" t="s">
        <v>148</v>
      </c>
      <c r="K5" s="359">
        <v>1.5</v>
      </c>
      <c r="L5" s="359">
        <v>0</v>
      </c>
      <c r="M5" s="359">
        <v>0</v>
      </c>
      <c r="N5" s="360">
        <v>7.22</v>
      </c>
      <c r="O5" s="360">
        <v>6.5049999999999999</v>
      </c>
      <c r="P5" s="360">
        <v>8.1999999999999993</v>
      </c>
      <c r="Q5" s="360">
        <v>6.36</v>
      </c>
      <c r="R5" s="361">
        <v>5.7549999999999999</v>
      </c>
      <c r="S5" s="361">
        <v>4.7200000000000006</v>
      </c>
      <c r="T5" s="361">
        <v>4.09</v>
      </c>
      <c r="U5" s="360">
        <v>3.0350000000000001</v>
      </c>
      <c r="V5" s="361">
        <v>3.8250000000000002</v>
      </c>
      <c r="W5" s="361">
        <v>5.7949999999999999</v>
      </c>
      <c r="X5" s="361">
        <v>6.95</v>
      </c>
    </row>
    <row r="6" spans="1:24" x14ac:dyDescent="0.25">
      <c r="A6" s="232">
        <v>45159</v>
      </c>
      <c r="B6" s="233" t="s">
        <v>307</v>
      </c>
      <c r="C6" s="234" t="s">
        <v>308</v>
      </c>
      <c r="D6" s="235">
        <v>3.7</v>
      </c>
      <c r="G6" s="377" t="s">
        <v>378</v>
      </c>
      <c r="H6" s="353" t="s">
        <v>308</v>
      </c>
      <c r="I6" s="418">
        <f>_xlfn.MAXIFS(Partos[Fecha],Partos[Numero Vaca],G6)</f>
        <v>45950</v>
      </c>
      <c r="J6" s="85" t="s">
        <v>151</v>
      </c>
      <c r="K6" s="355">
        <v>3.7</v>
      </c>
      <c r="L6" s="355">
        <v>3.2149999999999999</v>
      </c>
      <c r="M6" s="355">
        <v>2.6549999999999998</v>
      </c>
      <c r="N6" s="355">
        <v>3.68</v>
      </c>
      <c r="O6" s="355">
        <v>4.33</v>
      </c>
      <c r="P6" s="355">
        <v>5.58</v>
      </c>
      <c r="Q6" s="355">
        <v>4.8550000000000004</v>
      </c>
      <c r="R6" s="356">
        <v>4.6050000000000004</v>
      </c>
      <c r="S6" s="356">
        <v>4.43</v>
      </c>
      <c r="T6" s="356">
        <v>4.0599999999999996</v>
      </c>
      <c r="U6" s="355">
        <v>3.56</v>
      </c>
      <c r="V6" s="356">
        <v>3.5750000000000002</v>
      </c>
      <c r="W6" s="356">
        <v>4.8949999999999996</v>
      </c>
      <c r="X6" s="356">
        <v>5.56</v>
      </c>
    </row>
    <row r="7" spans="1:24" x14ac:dyDescent="0.25">
      <c r="A7" s="232">
        <v>45159</v>
      </c>
      <c r="B7" s="233" t="s">
        <v>196</v>
      </c>
      <c r="C7" s="234" t="s">
        <v>208</v>
      </c>
      <c r="D7" s="235">
        <v>1.4</v>
      </c>
      <c r="G7" s="378" t="s">
        <v>196</v>
      </c>
      <c r="H7" s="357" t="s">
        <v>208</v>
      </c>
      <c r="I7" s="418">
        <f>_xlfn.MAXIFS(Partos[Fecha],Partos[Numero Vaca],G7)</f>
        <v>45892</v>
      </c>
      <c r="J7" s="324" t="s">
        <v>148</v>
      </c>
      <c r="K7" s="359">
        <v>1.4</v>
      </c>
      <c r="L7" s="359">
        <v>0</v>
      </c>
      <c r="M7" s="359">
        <v>0</v>
      </c>
      <c r="N7" s="360">
        <v>6.29</v>
      </c>
      <c r="O7" s="360">
        <v>5.3250000000000002</v>
      </c>
      <c r="P7" s="360">
        <v>4.17</v>
      </c>
      <c r="Q7" s="360">
        <v>4.2</v>
      </c>
      <c r="R7" s="361">
        <v>4.42</v>
      </c>
      <c r="S7" s="361">
        <v>4.0050000000000008</v>
      </c>
      <c r="T7" s="361">
        <v>3.8650000000000002</v>
      </c>
      <c r="U7" s="360">
        <v>2.27</v>
      </c>
      <c r="V7" s="361">
        <v>2.9049999999999998</v>
      </c>
      <c r="W7" s="361">
        <v>4.0350000000000001</v>
      </c>
      <c r="X7" s="361">
        <v>3.5150000000000001</v>
      </c>
    </row>
    <row r="8" spans="1:24" x14ac:dyDescent="0.25">
      <c r="A8" s="232">
        <v>45159</v>
      </c>
      <c r="B8" s="233" t="s">
        <v>195</v>
      </c>
      <c r="C8" s="234" t="s">
        <v>207</v>
      </c>
      <c r="D8" s="235">
        <v>0.8</v>
      </c>
      <c r="G8" s="377" t="s">
        <v>195</v>
      </c>
      <c r="H8" s="353" t="s">
        <v>207</v>
      </c>
      <c r="I8" s="418">
        <f>_xlfn.MAXIFS(Partos[Fecha],Partos[Numero Vaca],G8)</f>
        <v>45284</v>
      </c>
      <c r="J8" s="85" t="s">
        <v>148</v>
      </c>
      <c r="K8" s="354">
        <v>0.8</v>
      </c>
      <c r="L8" s="354">
        <v>0.55499999999999994</v>
      </c>
      <c r="M8" s="354">
        <v>0</v>
      </c>
      <c r="N8" s="354">
        <v>0</v>
      </c>
      <c r="O8" s="354">
        <v>0</v>
      </c>
      <c r="P8" s="355">
        <v>5.87</v>
      </c>
      <c r="Q8" s="355">
        <v>5.5650000000000004</v>
      </c>
      <c r="R8" s="356">
        <v>4.29</v>
      </c>
      <c r="S8" s="356">
        <v>3.4650000000000003</v>
      </c>
      <c r="T8" s="356">
        <v>3.1</v>
      </c>
      <c r="U8" s="355">
        <v>2.5499999999999998</v>
      </c>
      <c r="V8" s="356">
        <v>2.09</v>
      </c>
      <c r="W8" s="356">
        <v>1.73</v>
      </c>
      <c r="X8" s="356">
        <v>1.4650000000000001</v>
      </c>
    </row>
    <row r="9" spans="1:24" x14ac:dyDescent="0.25">
      <c r="A9" s="232">
        <v>45159</v>
      </c>
      <c r="B9" s="233" t="s">
        <v>194</v>
      </c>
      <c r="C9" s="234" t="s">
        <v>209</v>
      </c>
      <c r="D9" s="235">
        <v>2</v>
      </c>
      <c r="G9" s="378" t="s">
        <v>194</v>
      </c>
      <c r="H9" s="357" t="s">
        <v>209</v>
      </c>
      <c r="I9" s="418">
        <f>_xlfn.MAXIFS(Partos[Fecha],Partos[Numero Vaca],G9)</f>
        <v>45626</v>
      </c>
      <c r="J9" s="324" t="s">
        <v>148</v>
      </c>
      <c r="K9" s="359">
        <v>2</v>
      </c>
      <c r="L9" s="359">
        <v>1.7749999999999999</v>
      </c>
      <c r="M9" s="359">
        <v>0</v>
      </c>
      <c r="N9" s="359">
        <v>0</v>
      </c>
      <c r="O9" s="359">
        <v>0</v>
      </c>
      <c r="P9" s="359">
        <v>0</v>
      </c>
      <c r="Q9" s="359">
        <v>0</v>
      </c>
      <c r="R9" s="362">
        <v>4.4050000000000002</v>
      </c>
      <c r="S9" s="362">
        <v>5.4849999999999994</v>
      </c>
      <c r="T9" s="362">
        <v>5.52</v>
      </c>
      <c r="U9" s="359">
        <v>4.1900000000000004</v>
      </c>
      <c r="V9" s="362">
        <v>0</v>
      </c>
      <c r="W9" s="362">
        <v>4.7149999999999999</v>
      </c>
      <c r="X9" s="362">
        <v>4.9800000000000004</v>
      </c>
    </row>
    <row r="10" spans="1:24" x14ac:dyDescent="0.25">
      <c r="A10" s="232">
        <v>45159</v>
      </c>
      <c r="B10" s="233" t="s">
        <v>192</v>
      </c>
      <c r="C10" s="234" t="s">
        <v>205</v>
      </c>
      <c r="D10" s="235">
        <v>3.9</v>
      </c>
      <c r="G10" s="377" t="s">
        <v>192</v>
      </c>
      <c r="H10" s="353" t="s">
        <v>205</v>
      </c>
      <c r="I10" s="418">
        <f>_xlfn.MAXIFS(Partos[Fecha],Partos[Numero Vaca],G10)</f>
        <v>45336</v>
      </c>
      <c r="J10" s="85" t="s">
        <v>151</v>
      </c>
      <c r="K10" s="354">
        <v>3.9</v>
      </c>
      <c r="L10" s="354">
        <v>4.165</v>
      </c>
      <c r="M10" s="354">
        <v>1.3149999999999999</v>
      </c>
      <c r="N10" s="354">
        <v>0</v>
      </c>
      <c r="O10" s="354">
        <v>0</v>
      </c>
      <c r="P10" s="354">
        <v>0</v>
      </c>
      <c r="Q10" s="354">
        <v>0</v>
      </c>
      <c r="R10" s="356">
        <v>2.56</v>
      </c>
      <c r="S10" s="356">
        <v>2.8849999999999998</v>
      </c>
      <c r="T10" s="356">
        <v>2.78</v>
      </c>
      <c r="U10" s="355">
        <v>3.085</v>
      </c>
      <c r="V10" s="356">
        <v>2.8149999999999999</v>
      </c>
      <c r="W10" s="356">
        <v>3.05</v>
      </c>
      <c r="X10" s="356">
        <v>2.9350000000000001</v>
      </c>
    </row>
    <row r="11" spans="1:24" x14ac:dyDescent="0.25">
      <c r="A11" s="232">
        <v>45159</v>
      </c>
      <c r="B11" s="233" t="s">
        <v>188</v>
      </c>
      <c r="C11" s="234" t="s">
        <v>201</v>
      </c>
      <c r="D11" s="235">
        <v>3.5</v>
      </c>
      <c r="G11" s="377" t="s">
        <v>190</v>
      </c>
      <c r="H11" s="353" t="s">
        <v>210</v>
      </c>
      <c r="I11" s="418">
        <f>_xlfn.MAXIFS(Partos[Fecha],Partos[Numero Vaca],G11)</f>
        <v>45953</v>
      </c>
      <c r="J11" s="85" t="s">
        <v>151</v>
      </c>
      <c r="K11" s="354">
        <v>3.3</v>
      </c>
      <c r="L11" s="354">
        <v>2.83</v>
      </c>
      <c r="M11" s="354">
        <v>1.115</v>
      </c>
      <c r="N11" s="354">
        <v>0</v>
      </c>
      <c r="O11" s="355">
        <v>6.2350000000000003</v>
      </c>
      <c r="P11" s="355">
        <v>5.96</v>
      </c>
      <c r="Q11" s="355">
        <v>5.915</v>
      </c>
      <c r="R11" s="356">
        <v>5.5350000000000001</v>
      </c>
      <c r="S11" s="356">
        <v>4.5399999999999991</v>
      </c>
      <c r="T11" s="356">
        <v>4.7249999999999996</v>
      </c>
      <c r="U11" s="355">
        <v>3.9950000000000001</v>
      </c>
      <c r="V11" s="356">
        <v>3.45</v>
      </c>
      <c r="W11" s="356">
        <v>4.07</v>
      </c>
      <c r="X11" s="356">
        <v>5.1349999999999998</v>
      </c>
    </row>
    <row r="12" spans="1:24" x14ac:dyDescent="0.25">
      <c r="A12" s="232">
        <v>45159</v>
      </c>
      <c r="B12" s="233" t="s">
        <v>190</v>
      </c>
      <c r="C12" s="234" t="s">
        <v>210</v>
      </c>
      <c r="D12" s="235">
        <v>3.3</v>
      </c>
      <c r="G12" s="378" t="s">
        <v>187</v>
      </c>
      <c r="H12" s="357" t="s">
        <v>200</v>
      </c>
      <c r="I12" s="418">
        <f>_xlfn.MAXIFS(Partos[Fecha],Partos[Numero Vaca],G12)</f>
        <v>45310</v>
      </c>
      <c r="J12" s="324" t="s">
        <v>151</v>
      </c>
      <c r="K12" s="359">
        <v>3</v>
      </c>
      <c r="L12" s="359">
        <v>2.7349999999999999</v>
      </c>
      <c r="M12" s="359">
        <v>2.2639999999999998</v>
      </c>
      <c r="N12" s="359">
        <v>0</v>
      </c>
      <c r="O12" s="359">
        <v>0</v>
      </c>
      <c r="P12" s="359">
        <v>0</v>
      </c>
      <c r="Q12" s="360">
        <v>5.88</v>
      </c>
      <c r="R12" s="361">
        <v>4.4400000000000004</v>
      </c>
      <c r="S12" s="361">
        <v>4.5950000000000006</v>
      </c>
      <c r="T12" s="361">
        <v>4.87</v>
      </c>
      <c r="U12" s="360">
        <v>4.3099999999999996</v>
      </c>
      <c r="V12" s="361">
        <v>3.6349999999999998</v>
      </c>
      <c r="W12" s="361">
        <v>4.08</v>
      </c>
      <c r="X12" s="361">
        <v>3.7450000000000001</v>
      </c>
    </row>
    <row r="13" spans="1:24" x14ac:dyDescent="0.25">
      <c r="A13" s="232">
        <v>45159</v>
      </c>
      <c r="B13" s="233" t="s">
        <v>187</v>
      </c>
      <c r="C13" s="234" t="s">
        <v>200</v>
      </c>
      <c r="D13" s="235">
        <v>3</v>
      </c>
      <c r="G13" s="377" t="s">
        <v>185</v>
      </c>
      <c r="H13" s="353" t="s">
        <v>198</v>
      </c>
      <c r="I13" s="418">
        <f>_xlfn.MAXIFS(Partos[Fecha],Partos[Numero Vaca],G13)</f>
        <v>45740</v>
      </c>
      <c r="J13" s="85" t="s">
        <v>151</v>
      </c>
      <c r="K13" s="354">
        <v>4.8</v>
      </c>
      <c r="L13" s="354">
        <v>4.335</v>
      </c>
      <c r="M13" s="354">
        <v>4.4550000000000001</v>
      </c>
      <c r="N13" s="354">
        <v>2.02</v>
      </c>
      <c r="O13" s="354">
        <v>0</v>
      </c>
      <c r="P13" s="354">
        <v>0</v>
      </c>
      <c r="Q13" s="354">
        <v>0</v>
      </c>
      <c r="R13" s="363">
        <v>0</v>
      </c>
      <c r="S13" s="363">
        <v>0</v>
      </c>
      <c r="T13" s="363">
        <v>3.645</v>
      </c>
      <c r="U13" s="354">
        <v>5.4450000000000003</v>
      </c>
      <c r="V13" s="363">
        <v>4.6950000000000003</v>
      </c>
      <c r="W13" s="363">
        <v>5.25</v>
      </c>
      <c r="X13" s="363">
        <v>4.9400000000000004</v>
      </c>
    </row>
    <row r="14" spans="1:24" x14ac:dyDescent="0.25">
      <c r="A14" s="232">
        <v>45159</v>
      </c>
      <c r="B14" s="233" t="s">
        <v>185</v>
      </c>
      <c r="C14" s="234" t="s">
        <v>198</v>
      </c>
      <c r="D14" s="235">
        <v>4.8</v>
      </c>
      <c r="G14" s="378" t="s">
        <v>184</v>
      </c>
      <c r="H14" s="357" t="s">
        <v>197</v>
      </c>
      <c r="I14" s="418">
        <f>_xlfn.MAXIFS(Partos[Fecha],Partos[Numero Vaca],G14)</f>
        <v>45600</v>
      </c>
      <c r="J14" s="324" t="s">
        <v>151</v>
      </c>
      <c r="K14" s="360">
        <v>9.1999999999999993</v>
      </c>
      <c r="L14" s="360">
        <v>9.1050000000000004</v>
      </c>
      <c r="M14" s="360">
        <v>9.23</v>
      </c>
      <c r="N14" s="360">
        <v>6.75</v>
      </c>
      <c r="O14" s="360">
        <v>5.87</v>
      </c>
      <c r="P14" s="360">
        <v>7.44</v>
      </c>
      <c r="Q14" s="360">
        <v>5.76</v>
      </c>
      <c r="R14" s="361">
        <v>6.7850000000000001</v>
      </c>
      <c r="S14" s="361">
        <v>4.99</v>
      </c>
      <c r="T14" s="361">
        <v>5.0999999999999996</v>
      </c>
      <c r="U14" s="360">
        <v>4.6500000000000004</v>
      </c>
      <c r="V14" s="361">
        <v>4.3849999999999998</v>
      </c>
      <c r="W14" s="361">
        <v>5.915</v>
      </c>
      <c r="X14" s="361">
        <v>6.78</v>
      </c>
    </row>
    <row r="15" spans="1:24" x14ac:dyDescent="0.25">
      <c r="A15" s="232">
        <v>45159</v>
      </c>
      <c r="B15" s="233" t="s">
        <v>184</v>
      </c>
      <c r="C15" s="234" t="s">
        <v>197</v>
      </c>
      <c r="D15" s="235">
        <v>9.1999999999999993</v>
      </c>
      <c r="G15" s="377" t="s">
        <v>193</v>
      </c>
      <c r="H15" s="353" t="s">
        <v>206</v>
      </c>
      <c r="I15" s="418">
        <f>_xlfn.MAXIFS(Partos[Fecha],Partos[Numero Vaca],G15)</f>
        <v>45095</v>
      </c>
      <c r="J15" s="85" t="s">
        <v>148</v>
      </c>
      <c r="K15" s="354">
        <v>7</v>
      </c>
      <c r="L15" s="354">
        <v>5.86</v>
      </c>
      <c r="M15" s="354">
        <v>7</v>
      </c>
      <c r="N15" s="354">
        <v>4.9000000000000004</v>
      </c>
      <c r="O15" s="354">
        <v>0</v>
      </c>
      <c r="P15" s="354">
        <v>0</v>
      </c>
      <c r="Q15" s="354">
        <v>0</v>
      </c>
      <c r="R15" s="363">
        <v>0</v>
      </c>
      <c r="S15" s="363">
        <v>0</v>
      </c>
      <c r="T15" s="363">
        <v>0</v>
      </c>
      <c r="U15" s="354">
        <v>0</v>
      </c>
      <c r="V15" s="363">
        <v>0</v>
      </c>
      <c r="W15" s="363">
        <v>0</v>
      </c>
      <c r="X15" s="363">
        <v>0</v>
      </c>
    </row>
    <row r="16" spans="1:24" x14ac:dyDescent="0.25">
      <c r="A16" s="232">
        <v>45159</v>
      </c>
      <c r="B16" s="233" t="s">
        <v>193</v>
      </c>
      <c r="C16" s="234" t="s">
        <v>206</v>
      </c>
      <c r="D16" s="235">
        <v>7</v>
      </c>
      <c r="G16" s="378" t="s">
        <v>304</v>
      </c>
      <c r="H16" s="357" t="s">
        <v>305</v>
      </c>
      <c r="I16" s="418">
        <f>_xlfn.MAXIFS(Partos[Fecha],Partos[Numero Vaca],G16)</f>
        <v>45649</v>
      </c>
      <c r="J16" s="324" t="s">
        <v>151</v>
      </c>
      <c r="K16" s="360">
        <v>7</v>
      </c>
      <c r="L16" s="360">
        <v>6.6</v>
      </c>
      <c r="M16" s="360">
        <v>7.16</v>
      </c>
      <c r="N16" s="360">
        <v>4.96</v>
      </c>
      <c r="O16" s="360">
        <v>4.4400000000000004</v>
      </c>
      <c r="P16" s="360">
        <v>6.37</v>
      </c>
      <c r="Q16" s="360">
        <v>5.2</v>
      </c>
      <c r="R16" s="361">
        <v>6.31</v>
      </c>
      <c r="S16" s="361">
        <v>5.6449999999999996</v>
      </c>
      <c r="T16" s="361">
        <v>4.26</v>
      </c>
      <c r="U16" s="360">
        <v>3.81</v>
      </c>
      <c r="V16" s="361">
        <v>3.165</v>
      </c>
      <c r="W16" s="361">
        <v>6.04</v>
      </c>
      <c r="X16" s="361">
        <v>7.9</v>
      </c>
    </row>
    <row r="17" spans="1:24" x14ac:dyDescent="0.25">
      <c r="A17" s="232">
        <v>45159</v>
      </c>
      <c r="B17" s="233" t="s">
        <v>304</v>
      </c>
      <c r="C17" s="234" t="s">
        <v>305</v>
      </c>
      <c r="D17" s="235">
        <v>7</v>
      </c>
      <c r="G17" s="377" t="s">
        <v>306</v>
      </c>
      <c r="H17" s="353" t="s">
        <v>202</v>
      </c>
      <c r="I17" s="418">
        <f>_xlfn.MAXIFS(Partos[Fecha],Partos[Numero Vaca],G17)</f>
        <v>45126</v>
      </c>
      <c r="J17" s="85" t="s">
        <v>148</v>
      </c>
      <c r="K17" s="354">
        <v>4.5999999999999996</v>
      </c>
      <c r="L17" s="354">
        <v>3.3849999999999998</v>
      </c>
      <c r="M17" s="354">
        <v>3.4</v>
      </c>
      <c r="N17" s="354">
        <v>1.72</v>
      </c>
      <c r="O17" s="354">
        <v>0</v>
      </c>
      <c r="P17" s="354">
        <v>0</v>
      </c>
      <c r="Q17" s="354">
        <v>0</v>
      </c>
      <c r="R17" s="363">
        <v>0</v>
      </c>
      <c r="S17" s="363">
        <v>0</v>
      </c>
      <c r="T17" s="363">
        <v>0</v>
      </c>
      <c r="U17" s="354">
        <v>0</v>
      </c>
      <c r="V17" s="363">
        <v>0</v>
      </c>
      <c r="W17" s="363">
        <v>0</v>
      </c>
      <c r="X17" s="363">
        <v>0</v>
      </c>
    </row>
    <row r="18" spans="1:24" x14ac:dyDescent="0.25">
      <c r="A18" s="232">
        <v>45159</v>
      </c>
      <c r="B18" s="233" t="s">
        <v>306</v>
      </c>
      <c r="C18" s="234" t="s">
        <v>202</v>
      </c>
      <c r="D18" s="235">
        <v>4.5999999999999996</v>
      </c>
      <c r="G18" s="378" t="s">
        <v>114</v>
      </c>
      <c r="H18" s="357" t="s">
        <v>303</v>
      </c>
      <c r="I18" s="418">
        <f>_xlfn.MAXIFS(Partos[Fecha],Partos[Numero Vaca],G18)</f>
        <v>45145</v>
      </c>
      <c r="J18" s="324" t="s">
        <v>148</v>
      </c>
      <c r="K18" s="360">
        <v>3.3</v>
      </c>
      <c r="L18" s="360">
        <v>4.29</v>
      </c>
      <c r="M18" s="360">
        <v>4.5149999999999997</v>
      </c>
      <c r="N18" s="360">
        <v>3.43</v>
      </c>
      <c r="O18" s="360">
        <v>2.97</v>
      </c>
      <c r="P18" s="360">
        <v>4.04</v>
      </c>
      <c r="Q18" s="360">
        <v>1.5450000000000002</v>
      </c>
      <c r="R18" s="361">
        <v>3.4649999999999999</v>
      </c>
      <c r="S18" s="361">
        <v>2.64</v>
      </c>
      <c r="T18" s="361">
        <v>2.2999999999999998</v>
      </c>
      <c r="U18" s="360">
        <v>2.21</v>
      </c>
      <c r="V18" s="361">
        <v>1.615</v>
      </c>
      <c r="W18" s="361">
        <v>1.93</v>
      </c>
      <c r="X18" s="361">
        <v>1.86</v>
      </c>
    </row>
    <row r="19" spans="1:24" x14ac:dyDescent="0.25">
      <c r="A19" s="232">
        <v>45159</v>
      </c>
      <c r="B19" s="233" t="s">
        <v>114</v>
      </c>
      <c r="C19" s="234" t="s">
        <v>303</v>
      </c>
      <c r="D19" s="235">
        <v>3.3</v>
      </c>
      <c r="G19" s="377" t="s">
        <v>113</v>
      </c>
      <c r="H19" s="353" t="s">
        <v>134</v>
      </c>
      <c r="I19" s="418">
        <f>_xlfn.MAXIFS(Partos[Fecha],Partos[Numero Vaca],G19)</f>
        <v>45678</v>
      </c>
      <c r="J19" s="85" t="s">
        <v>151</v>
      </c>
      <c r="K19" s="354">
        <v>0</v>
      </c>
      <c r="L19" s="354">
        <v>0</v>
      </c>
      <c r="M19" s="354">
        <v>0</v>
      </c>
      <c r="N19" s="355">
        <v>6.15</v>
      </c>
      <c r="O19" s="355">
        <v>5.5</v>
      </c>
      <c r="P19" s="355">
        <v>5.35</v>
      </c>
      <c r="Q19" s="355">
        <v>4.9249999999999998</v>
      </c>
      <c r="R19" s="356">
        <v>5.0049999999999999</v>
      </c>
      <c r="S19" s="356">
        <v>4.2200000000000006</v>
      </c>
      <c r="T19" s="356">
        <v>4.07</v>
      </c>
      <c r="U19" s="355">
        <v>4.04</v>
      </c>
      <c r="V19" s="356">
        <v>3.8050000000000002</v>
      </c>
      <c r="W19" s="356">
        <v>5.03</v>
      </c>
      <c r="X19" s="356">
        <v>5.04</v>
      </c>
    </row>
    <row r="20" spans="1:24" x14ac:dyDescent="0.25">
      <c r="A20" s="232">
        <v>45189</v>
      </c>
      <c r="B20" s="236" t="s">
        <v>191</v>
      </c>
      <c r="C20" s="237" t="s">
        <v>204</v>
      </c>
      <c r="D20" s="238">
        <v>0</v>
      </c>
      <c r="G20" s="378" t="s">
        <v>379</v>
      </c>
      <c r="H20" s="357" t="s">
        <v>127</v>
      </c>
      <c r="I20" s="418">
        <f>_xlfn.MAXIFS(Partos[Fecha],Partos[Numero Vaca],G20)</f>
        <v>45684</v>
      </c>
      <c r="J20" s="324" t="s">
        <v>148</v>
      </c>
      <c r="K20" s="364">
        <v>0</v>
      </c>
      <c r="L20" s="364">
        <v>0</v>
      </c>
      <c r="M20" s="364">
        <v>0</v>
      </c>
      <c r="N20" s="364">
        <v>0</v>
      </c>
      <c r="O20" s="364">
        <v>0</v>
      </c>
      <c r="P20" s="364">
        <v>0</v>
      </c>
      <c r="Q20" s="364">
        <v>0</v>
      </c>
      <c r="R20" s="365">
        <v>0</v>
      </c>
      <c r="S20" s="361">
        <v>4.24</v>
      </c>
      <c r="T20" s="361">
        <v>5.5</v>
      </c>
      <c r="U20" s="360">
        <v>6.97</v>
      </c>
      <c r="V20" s="361">
        <v>7</v>
      </c>
      <c r="W20" s="361">
        <v>7.75</v>
      </c>
      <c r="X20" s="361">
        <v>8.68</v>
      </c>
    </row>
    <row r="21" spans="1:24" x14ac:dyDescent="0.25">
      <c r="A21" s="232">
        <v>45189</v>
      </c>
      <c r="B21" s="239" t="s">
        <v>309</v>
      </c>
      <c r="C21" s="240" t="s">
        <v>310</v>
      </c>
      <c r="D21" s="241">
        <v>0</v>
      </c>
      <c r="G21" s="386" t="s">
        <v>75</v>
      </c>
      <c r="H21" s="384"/>
      <c r="I21" s="385"/>
      <c r="J21" s="385"/>
      <c r="K21" s="380">
        <f>SUBTOTAL(109,Tabla15[21/8/2023])</f>
        <v>57.699999999999996</v>
      </c>
      <c r="L21" s="380">
        <f>SUBTOTAL(109,Tabla15[20/9/2023])</f>
        <v>48.85</v>
      </c>
      <c r="M21" s="380">
        <f>SUBTOTAL(109,Tabla15[20/10/2023])</f>
        <v>43.109000000000002</v>
      </c>
      <c r="N21" s="380">
        <f>SUBTOTAL(109,Tabla15[20/11/2023])</f>
        <v>47.12</v>
      </c>
      <c r="O21" s="380">
        <f>SUBTOTAL(109,Tabla15[20/12/2023])</f>
        <v>41.174999999999997</v>
      </c>
      <c r="P21" s="380">
        <f>SUBTOTAL(109,Tabla15[16/1/2024])</f>
        <v>58.059999999999995</v>
      </c>
      <c r="Q21" s="380">
        <f>SUBTOTAL(109,Tabla15[31/1/2024])</f>
        <v>55.955000000000005</v>
      </c>
      <c r="R21" s="381">
        <f>SUBTOTAL(109,Tabla15[16/2/2024])</f>
        <v>62.9</v>
      </c>
      <c r="S21" s="381">
        <f>SUBTOTAL(109,Tabla15[1/3/2024])</f>
        <v>60.809999999999995</v>
      </c>
      <c r="T21" s="381">
        <f>SUBTOTAL(109,Tabla15[15/3/2024])</f>
        <v>61.894999999999996</v>
      </c>
      <c r="U21" s="382">
        <f>SUBTOTAL(109,Tabla15[1/4/2024])</f>
        <v>58.375</v>
      </c>
      <c r="V21" s="383">
        <f>SUBTOTAL(109,Tabla15[15/4/2024])</f>
        <v>50.265000000000001</v>
      </c>
      <c r="W21" s="383">
        <f>SUBTOTAL(109,Tabla15[30/4/2025])</f>
        <v>67.545000000000002</v>
      </c>
      <c r="X21" s="383">
        <f>SUBTOTAL(109,Tabla15[15/5/2026])</f>
        <v>73.269999999999982</v>
      </c>
    </row>
    <row r="22" spans="1:24" x14ac:dyDescent="0.25">
      <c r="A22" s="232">
        <v>45189</v>
      </c>
      <c r="B22" s="239" t="s">
        <v>196</v>
      </c>
      <c r="C22" s="240" t="s">
        <v>208</v>
      </c>
      <c r="D22" s="241">
        <v>0</v>
      </c>
      <c r="G22" s="369" t="s">
        <v>234</v>
      </c>
      <c r="H22" s="357"/>
      <c r="I22" s="358"/>
      <c r="J22" s="324"/>
      <c r="K22" s="370">
        <f>COUNTIF('Control p.leche'!$K$4:$K$20,"&gt;0")</f>
        <v>15</v>
      </c>
      <c r="L22" s="370">
        <f>COUNTIF('Control p.leche'!$L$4:$L$20,"&gt;0")</f>
        <v>12</v>
      </c>
      <c r="M22" s="370">
        <f>COUNTIF('Control p.leche'!$M$3:$M$20,"&gt;0")</f>
        <v>10</v>
      </c>
      <c r="N22" s="370">
        <f>COUNTIF('Control p.leche'!$N$3:$N$20,"&gt;0")</f>
        <v>10</v>
      </c>
      <c r="O22" s="370">
        <f>COUNTIF('Control p.leche'!$O$3:$O$20,"&gt;0")</f>
        <v>8</v>
      </c>
      <c r="P22" s="370">
        <f>COUNTIF('Control p.leche'!$P$3:$P$20,"&gt;0")</f>
        <v>10</v>
      </c>
      <c r="Q22" s="370">
        <f>COUNTIF('Control p.leche'!$Q$3:$Q$20,"&gt;0")</f>
        <v>11</v>
      </c>
      <c r="R22" s="371">
        <f>COUNTIF('Control p.leche'!$R$3:$R$20,"&gt;0")</f>
        <v>13</v>
      </c>
      <c r="S22" s="371">
        <f>COUNTIF('Control p.leche'!$S$3:$S$20,"&gt;0")</f>
        <v>14</v>
      </c>
      <c r="T22" s="371">
        <f>COUNTIF('Control p.leche'!$T$3:$T$20,"&gt;0")</f>
        <v>15</v>
      </c>
      <c r="U22" s="371">
        <f>COUNTIF('Control p.leche'!$T$3:$T$20,"&gt;0")</f>
        <v>15</v>
      </c>
      <c r="V22" s="372">
        <f>COUNTIF('Control p.leche'!$T$3:$T$20,"&gt;0")</f>
        <v>15</v>
      </c>
      <c r="W22" s="372">
        <f>COUNTIF('Control p.leche'!$T$3:$T$20,"&gt;0")</f>
        <v>15</v>
      </c>
      <c r="X22" s="372">
        <f>COUNTIF('Control p.leche'!$T$3:$T$20,"&gt;0")</f>
        <v>15</v>
      </c>
    </row>
    <row r="23" spans="1:24" ht="16.5" thickBot="1" x14ac:dyDescent="0.3">
      <c r="A23" s="232">
        <v>45189</v>
      </c>
      <c r="B23" s="236" t="s">
        <v>195</v>
      </c>
      <c r="C23" s="237" t="s">
        <v>207</v>
      </c>
      <c r="D23" s="238">
        <v>0.55499999999999994</v>
      </c>
      <c r="G23" s="373" t="s">
        <v>235</v>
      </c>
      <c r="H23" s="374"/>
      <c r="I23" s="375"/>
      <c r="J23" s="376"/>
      <c r="K23" s="366">
        <f>Tabla15[[#Totals],[21/8/2023]]/K22</f>
        <v>3.8466666666666662</v>
      </c>
      <c r="L23" s="366">
        <f>Tabla15[[#Totals],[20/9/2023]]/L22</f>
        <v>4.0708333333333337</v>
      </c>
      <c r="M23" s="366">
        <f>Tabla15[[#Totals],[20/10/2023]]/M22</f>
        <v>4.3109000000000002</v>
      </c>
      <c r="N23" s="366">
        <f>Tabla15[[#Totals],[20/11/2023]]/N22</f>
        <v>4.7119999999999997</v>
      </c>
      <c r="O23" s="366">
        <f>Tabla15[[#Totals],[20/12/2023]]/O22</f>
        <v>5.1468749999999996</v>
      </c>
      <c r="P23" s="366">
        <f>Tabla15[[#Totals],[16/1/2024]]/P22</f>
        <v>5.8059999999999992</v>
      </c>
      <c r="Q23" s="366">
        <f>Tabla15[[#Totals],[31/1/2024]]/Q22</f>
        <v>5.0868181818181819</v>
      </c>
      <c r="R23" s="366">
        <f>Tabla15[[#Totals],[16/2/2024]]/R22</f>
        <v>4.8384615384615381</v>
      </c>
      <c r="S23" s="366">
        <f>Tabla15[[#Totals],[1/3/2024]]/S22</f>
        <v>4.343571428571428</v>
      </c>
      <c r="T23" s="366">
        <f>Tabla15[[#Totals],[15/3/2024]]/T22</f>
        <v>4.1263333333333332</v>
      </c>
      <c r="U23" s="366">
        <f>Tabla15[[#Totals],[1/4/2024]]/U22</f>
        <v>3.8916666666666666</v>
      </c>
      <c r="V23" s="366">
        <f>Tabla15[[#Totals],[15/4/2024]]/V22</f>
        <v>3.351</v>
      </c>
      <c r="W23" s="366">
        <f>Tabla15[[#Totals],[30/4/2025]]/W22</f>
        <v>4.5030000000000001</v>
      </c>
      <c r="X23" s="366">
        <f>Tabla15[[#Totals],[15/5/2026]]/X22</f>
        <v>4.8846666666666652</v>
      </c>
    </row>
    <row r="24" spans="1:24" x14ac:dyDescent="0.25">
      <c r="A24" s="232">
        <v>45189</v>
      </c>
      <c r="B24" s="239" t="s">
        <v>194</v>
      </c>
      <c r="C24" s="240" t="s">
        <v>209</v>
      </c>
      <c r="D24" s="241">
        <v>1.7749999999999999</v>
      </c>
    </row>
    <row r="25" spans="1:24" x14ac:dyDescent="0.25">
      <c r="A25" s="232">
        <v>45189</v>
      </c>
      <c r="B25" s="236" t="s">
        <v>192</v>
      </c>
      <c r="C25" s="237" t="s">
        <v>205</v>
      </c>
      <c r="D25" s="238">
        <v>4.165</v>
      </c>
      <c r="H25" s="1" t="s">
        <v>331</v>
      </c>
      <c r="I25" s="1" t="s">
        <v>213</v>
      </c>
      <c r="J25" s="1" t="s">
        <v>51</v>
      </c>
    </row>
    <row r="26" spans="1:24" x14ac:dyDescent="0.25">
      <c r="A26" s="232">
        <v>45189</v>
      </c>
      <c r="B26" s="239" t="s">
        <v>188</v>
      </c>
      <c r="C26" s="240" t="s">
        <v>201</v>
      </c>
      <c r="D26" s="241">
        <v>3.9249999999999998</v>
      </c>
      <c r="H26" s="1" t="s">
        <v>332</v>
      </c>
      <c r="I26" s="1" t="s">
        <v>101</v>
      </c>
      <c r="J26" s="1" t="s">
        <v>214</v>
      </c>
    </row>
    <row r="27" spans="1:24" ht="15.75" thickBot="1" x14ac:dyDescent="0.3">
      <c r="A27" s="232">
        <v>45189</v>
      </c>
      <c r="B27" s="236" t="s">
        <v>190</v>
      </c>
      <c r="C27" s="237" t="s">
        <v>210</v>
      </c>
      <c r="D27" s="238">
        <v>2.83</v>
      </c>
    </row>
    <row r="28" spans="1:24" x14ac:dyDescent="0.25">
      <c r="A28" s="232">
        <v>45189</v>
      </c>
      <c r="B28" s="239" t="s">
        <v>187</v>
      </c>
      <c r="C28" s="240" t="s">
        <v>200</v>
      </c>
      <c r="D28" s="241">
        <v>2.7349999999999999</v>
      </c>
      <c r="G28" s="403" t="s">
        <v>302</v>
      </c>
      <c r="H28" s="404" t="s">
        <v>1</v>
      </c>
      <c r="I28" s="404" t="s">
        <v>300</v>
      </c>
      <c r="J28" s="404" t="s">
        <v>301</v>
      </c>
      <c r="K28" s="408">
        <v>45458</v>
      </c>
      <c r="L28" s="408">
        <v>45442</v>
      </c>
      <c r="M28" s="408">
        <v>45427</v>
      </c>
      <c r="N28" s="408">
        <v>45412</v>
      </c>
      <c r="O28" s="408">
        <v>38092</v>
      </c>
      <c r="P28" s="408">
        <v>45383</v>
      </c>
      <c r="Q28" s="408">
        <v>45352</v>
      </c>
      <c r="R28" s="408">
        <v>45338</v>
      </c>
      <c r="S28" s="408">
        <v>45322</v>
      </c>
      <c r="T28" s="409">
        <v>45307</v>
      </c>
    </row>
    <row r="29" spans="1:24" x14ac:dyDescent="0.25">
      <c r="A29" s="232">
        <v>45189</v>
      </c>
      <c r="B29" s="236" t="s">
        <v>185</v>
      </c>
      <c r="C29" s="237" t="s">
        <v>198</v>
      </c>
      <c r="D29" s="238">
        <v>4.335</v>
      </c>
      <c r="G29" s="405" t="e" cm="1" vm="1">
        <f t="array" aca="1" ref="G29" ca="1">_xlfn._xlws.FILTER(CHOOSE({1,2},Fichas[Numero],Fichas[Nombre],Fichas[Sexo],Fichas[Tipo],CONCATENATE(TRUNC((TODAY()-Fichas[F Nacimiento])/365,1)," Años "),Fichas[Lote],Fichas[Status]),(Fichas[Tipo]=H26)*(Fichas[Lote]=I26 )*(Fichas[Status]=J26 ),"No Encontrado")</f>
        <v>#VALUE!</v>
      </c>
      <c r="H29" s="353"/>
      <c r="I29" s="401">
        <f ca="1">_xlfn.MAXIFS(Partos[Fecha],Partos[Numero Vaca],G29)</f>
        <v>0</v>
      </c>
      <c r="J29" s="353" t="e" cm="1" vm="2">
        <f t="array" aca="1" ref="J29" ca="1">_xlfn._xlws.FILTER(CHOOSE({1},Partos[Sexo]),(Partos[Numero Vaca]=G29)*(Partos[Fecha]=I29),"No Hay Partos Registrados")</f>
        <v>#VALUE!</v>
      </c>
      <c r="K29" s="407" t="e" cm="1" vm="2">
        <f t="array" aca="1" ref="K29" ca="1">_xlfn._xlws.FILTER(CHOOSE({1},Pesadas[Kg]),(Pesadas[Numero]=G29)*(Pesadas[Fecha]=$LK$28),"S/P")</f>
        <v>#VALUE!</v>
      </c>
      <c r="L29" s="407" t="e" cm="1" vm="2">
        <f t="array" aca="1" ref="L29" ca="1">_xlfn._xlws.FILTER(CHOOSE({1},Pesadas[Kg]),(Pesadas[Numero]=G29)*(Pesadas[Fecha]=$L$28),"S/P")</f>
        <v>#VALUE!</v>
      </c>
      <c r="M29" s="407" t="e" cm="1" vm="2">
        <f t="array" aca="1" ref="M29" ca="1">_xlfn._xlws.FILTER(CHOOSE({1},Pesadas[Kg]),(Pesadas[Numero]=G29)*(Pesadas[Fecha]=$M$28),"S/P")</f>
        <v>#VALUE!</v>
      </c>
      <c r="N29" s="407" t="e" cm="1" vm="2">
        <f t="array" aca="1" ref="N29" ca="1">_xlfn._xlws.FILTER(CHOOSE({1},Pesadas[Kg]),(Pesadas[Numero]=G29)*(Pesadas[Fecha]=$N$28),"S/P")</f>
        <v>#VALUE!</v>
      </c>
      <c r="O29" s="407" t="e" cm="1" vm="2">
        <f t="array" aca="1" ref="O29" ca="1">_xlfn._xlws.FILTER(CHOOSE({1},Pesadas[Kg]),(Pesadas[Numero]=G29)*(Pesadas[Fecha]=$O$28),"S/P")</f>
        <v>#VALUE!</v>
      </c>
      <c r="P29" s="407" t="e" cm="1" vm="2">
        <f t="array" aca="1" ref="P29" ca="1">_xlfn._xlws.FILTER(CHOOSE({1},Pesadas[Kg]),(Pesadas[Numero]=G29)*(Pesadas[Fecha]=$P$28),"S/P")</f>
        <v>#VALUE!</v>
      </c>
      <c r="Q29" s="407" t="e" cm="1" vm="2">
        <f t="array" aca="1" ref="Q29" ca="1">_xlfn._xlws.FILTER(CHOOSE({1},Pesadas[Kg]),(Pesadas[Numero]=G29)*(Pesadas[Fecha]=$Q$28),"S/P")</f>
        <v>#VALUE!</v>
      </c>
      <c r="R29" s="407" t="e" cm="1" vm="2">
        <f t="array" aca="1" ref="R29" ca="1">_xlfn._xlws.FILTER(CHOOSE({1},Pesadas[Kg]),(Pesadas[Numero]=G29)*(Pesadas[Fecha]=$R$28),"S/P")</f>
        <v>#VALUE!</v>
      </c>
      <c r="S29" s="407" t="e" cm="1" vm="2">
        <f t="array" aca="1" ref="S29" ca="1">_xlfn._xlws.FILTER(CHOOSE({1},Pesadas[Kg]),(Pesadas[Numero]=$G29)*(Pesadas[Fecha]=$S$28),"S/P")</f>
        <v>#VALUE!</v>
      </c>
      <c r="T29" s="410" t="e" cm="1" vm="2">
        <f t="array" aca="1" ref="T29" ca="1">_xlfn._xlws.FILTER(CHOOSE({1},Pesadas[Kg]),(Pesadas[Numero]=$G29)*(Pesadas[Fecha]=$T$28),"S/P")</f>
        <v>#VALUE!</v>
      </c>
    </row>
    <row r="30" spans="1:24" x14ac:dyDescent="0.25">
      <c r="A30" s="232">
        <v>45189</v>
      </c>
      <c r="B30" s="239" t="s">
        <v>184</v>
      </c>
      <c r="C30" s="240" t="s">
        <v>197</v>
      </c>
      <c r="D30" s="241">
        <v>9.1050000000000004</v>
      </c>
      <c r="G30" s="406"/>
      <c r="H30" s="357"/>
      <c r="I30" s="402">
        <f>_xlfn.MAXIFS(Partos[Fecha],Partos[Numero Vaca],G30)</f>
        <v>0</v>
      </c>
      <c r="J30" s="357" t="str" cm="1">
        <f t="array" ref="J30">_xlfn._xlws.FILTER(CHOOSE({1},Partos[Sexo]),(Partos[Numero Vaca]=G30)*(Partos[Fecha]=I30),"No Hay Partos Registrados")</f>
        <v>No Hay Partos Registrados</v>
      </c>
      <c r="K30" s="407" t="str" cm="1">
        <f t="array" ref="K30">_xlfn._xlws.FILTER(CHOOSE({1},Pesadas[Kg]),(Pesadas[Numero]=G30)*(Pesadas[Fecha]=$LK$28),"S/P")</f>
        <v>S/P</v>
      </c>
      <c r="L30" s="364" t="str" cm="1">
        <f t="array" ref="L30">_xlfn._xlws.FILTER(CHOOSE({1},Pesadas[Kg]),(Pesadas[Numero]=G30)*(Pesadas[Fecha]=$L$28),"S/P")</f>
        <v>S/P</v>
      </c>
      <c r="M30" s="364" t="str" cm="1">
        <f t="array" ref="M30">_xlfn._xlws.FILTER(CHOOSE({1},Pesadas[Kg]),(Pesadas[Numero]=G30)*(Pesadas[Fecha]=$M$28),"S/P")</f>
        <v>S/P</v>
      </c>
      <c r="N30" s="364" t="str" cm="1">
        <f t="array" ref="N30">_xlfn._xlws.FILTER(CHOOSE({1},Pesadas[Kg]),(Pesadas[Numero]=G30)*(Pesadas[Fecha]=$N$28),"S/P")</f>
        <v>S/P</v>
      </c>
      <c r="O30" s="364" t="str" cm="1">
        <f t="array" ref="O30">_xlfn._xlws.FILTER(CHOOSE({1},Pesadas[Kg]),(Pesadas[Numero]=G30)*(Pesadas[Fecha]=$N$28),"S/P")</f>
        <v>S/P</v>
      </c>
      <c r="P30" s="364" t="str" cm="1">
        <f t="array" ref="P30">_xlfn._xlws.FILTER(CHOOSE({1},Pesadas[Kg]),(Pesadas[Numero]=G30)*(Pesadas[Fecha]=$P$28),"S/P")</f>
        <v>S/P</v>
      </c>
      <c r="Q30" s="364" t="str" cm="1">
        <f t="array" ref="Q30">_xlfn._xlws.FILTER(CHOOSE({1},Pesadas[Kg]),(Pesadas[Numero]=G30)*(Pesadas[Fecha]=$Q$28),"S/P")</f>
        <v>S/P</v>
      </c>
      <c r="R30" s="364" t="str" cm="1">
        <f t="array" ref="R30">_xlfn._xlws.FILTER(CHOOSE({1},Pesadas[Kg]),(Pesadas[Numero]=G30)*(Pesadas[Fecha]=$R$28),"S/P")</f>
        <v>S/P</v>
      </c>
      <c r="S30" s="364" t="str" cm="1">
        <f t="array" ref="S30">_xlfn._xlws.FILTER(CHOOSE({1},Pesadas[Kg]),(Pesadas[Numero]=G30)*(Pesadas[Fecha]=$S$28),"S/P")</f>
        <v>S/P</v>
      </c>
      <c r="T30" s="411" t="str" cm="1">
        <f t="array" ref="T30">_xlfn._xlws.FILTER(CHOOSE({1},Pesadas[Kg]),(Pesadas[Numero]=$G30)*(Pesadas[Fecha]=$T$28),"S/P")</f>
        <v>S/P</v>
      </c>
    </row>
    <row r="31" spans="1:24" x14ac:dyDescent="0.25">
      <c r="A31" s="232">
        <v>45189</v>
      </c>
      <c r="B31" s="236" t="s">
        <v>193</v>
      </c>
      <c r="C31" s="237" t="s">
        <v>206</v>
      </c>
      <c r="D31" s="238">
        <v>5.86</v>
      </c>
      <c r="G31" s="405"/>
      <c r="H31" s="353"/>
      <c r="I31" s="401">
        <f>_xlfn.MAXIFS(Partos[Fecha],Partos[Numero Vaca],G31)</f>
        <v>0</v>
      </c>
      <c r="J31" s="353" t="str" cm="1">
        <f t="array" ref="J31">_xlfn._xlws.FILTER(CHOOSE({1},Partos[Sexo]),(Partos[Numero Vaca]=G31)*(Partos[Fecha]=I31),"No Hay Partos Registrados")</f>
        <v>No Hay Partos Registrados</v>
      </c>
      <c r="K31" s="407" t="str" cm="1">
        <f t="array" ref="K31">_xlfn._xlws.FILTER(CHOOSE({1},Pesadas[Kg]),(Pesadas[Numero]=G31)*(Pesadas[Fecha]=$LK$28),"S/P")</f>
        <v>S/P</v>
      </c>
      <c r="L31" s="407" t="str" cm="1">
        <f t="array" ref="L31">_xlfn._xlws.FILTER(CHOOSE({1},Pesadas[Kg]),(Pesadas[Numero]=G31)*(Pesadas[Fecha]=$L$28),"S/P")</f>
        <v>S/P</v>
      </c>
      <c r="M31" s="407" t="str" cm="1">
        <f t="array" ref="M31">_xlfn._xlws.FILTER(CHOOSE({1},Pesadas[Kg]),(Pesadas[Numero]=G31)*(Pesadas[Fecha]=$M$28),"S/P")</f>
        <v>S/P</v>
      </c>
      <c r="N31" s="407" t="str" cm="1">
        <f t="array" ref="N31">_xlfn._xlws.FILTER(CHOOSE({1},Pesadas[Kg]),(Pesadas[Numero]=G31)*(Pesadas[Fecha]=$N$28),"S/P")</f>
        <v>S/P</v>
      </c>
      <c r="O31" s="407" t="str" cm="1">
        <f t="array" ref="O31">_xlfn._xlws.FILTER(CHOOSE({1},Pesadas[Kg]),(Pesadas[Numero]=G31)*(Pesadas[Fecha]=$N$28),"S/P")</f>
        <v>S/P</v>
      </c>
      <c r="P31" s="407" t="str" cm="1">
        <f t="array" ref="P31">_xlfn._xlws.FILTER(CHOOSE({1},Pesadas[Kg]),(Pesadas[Numero]=G31)*(Pesadas[Fecha]=$P$28),"S/P")</f>
        <v>S/P</v>
      </c>
      <c r="Q31" s="407" t="str" cm="1">
        <f t="array" ref="Q31">_xlfn._xlws.FILTER(CHOOSE({1},Pesadas[Kg]),(Pesadas[Numero]=G31)*(Pesadas[Fecha]=$Q$28),"S/P")</f>
        <v>S/P</v>
      </c>
      <c r="R31" s="407" t="str" cm="1">
        <f t="array" ref="R31">_xlfn._xlws.FILTER(CHOOSE({1},Pesadas[Kg]),(Pesadas[Numero]=G31)*(Pesadas[Fecha]=$R$28),"S/P")</f>
        <v>S/P</v>
      </c>
      <c r="S31" s="407" t="str" cm="1">
        <f t="array" ref="S31">_xlfn._xlws.FILTER(CHOOSE({1},Pesadas[Kg]),(Pesadas[Numero]=G31)*(Pesadas[Fecha]=$S$28),"S/P")</f>
        <v>S/P</v>
      </c>
      <c r="T31" s="410" t="str" cm="1">
        <f t="array" ref="T31">_xlfn._xlws.FILTER(CHOOSE({1},Pesadas[Kg]),(Pesadas[Numero]=$G31)*(Pesadas[Fecha]=$T$28),"S/P")</f>
        <v>S/P</v>
      </c>
    </row>
    <row r="32" spans="1:24" x14ac:dyDescent="0.25">
      <c r="A32" s="232">
        <v>45189</v>
      </c>
      <c r="B32" s="239" t="s">
        <v>304</v>
      </c>
      <c r="C32" s="240" t="s">
        <v>305</v>
      </c>
      <c r="D32" s="241">
        <v>6.6</v>
      </c>
      <c r="G32" s="406"/>
      <c r="H32" s="357"/>
      <c r="I32" s="402">
        <f>_xlfn.MAXIFS(Partos[Fecha],Partos[Numero Vaca],G32)</f>
        <v>0</v>
      </c>
      <c r="J32" s="357" t="str" cm="1">
        <f t="array" ref="J32">_xlfn._xlws.FILTER(CHOOSE({1},Partos[Sexo]),(Partos[Numero Vaca]=G32)*(Partos[Fecha]=I32),"No Hay Partos Registrados")</f>
        <v>No Hay Partos Registrados</v>
      </c>
      <c r="K32" s="407" t="str" cm="1">
        <f t="array" ref="K32">_xlfn._xlws.FILTER(CHOOSE({1},Pesadas[Kg]),(Pesadas[Numero]=G32)*(Pesadas[Fecha]=$LK$28),"S/P")</f>
        <v>S/P</v>
      </c>
      <c r="L32" s="364" t="str" cm="1">
        <f t="array" ref="L32">_xlfn._xlws.FILTER(CHOOSE({1},Pesadas[Kg]),(Pesadas[Numero]=G32)*(Pesadas[Fecha]=$L$28),"S/P")</f>
        <v>S/P</v>
      </c>
      <c r="M32" s="364" t="str" cm="1">
        <f t="array" ref="M32">_xlfn._xlws.FILTER(CHOOSE({1},Pesadas[Kg]),(Pesadas[Numero]=G32)*(Pesadas[Fecha]=$M$28),"S/P")</f>
        <v>S/P</v>
      </c>
      <c r="N32" s="364" t="str" cm="1">
        <f t="array" ref="N32">_xlfn._xlws.FILTER(CHOOSE({1},Pesadas[Kg]),(Pesadas[Numero]=G32)*(Pesadas[Fecha]=$N$28),"S/P")</f>
        <v>S/P</v>
      </c>
      <c r="O32" s="364" t="str" cm="1">
        <f t="array" ref="O32">_xlfn._xlws.FILTER(CHOOSE({1},Pesadas[Kg]),(Pesadas[Numero]=G32)*(Pesadas[Fecha]=$N$28),"S/P")</f>
        <v>S/P</v>
      </c>
      <c r="P32" s="364" t="str" cm="1">
        <f t="array" ref="P32">_xlfn._xlws.FILTER(CHOOSE({1},Pesadas[Kg]),(Pesadas[Numero]=G32)*(Pesadas[Fecha]=$P$28),"S/P")</f>
        <v>S/P</v>
      </c>
      <c r="Q32" s="364" t="str" cm="1">
        <f t="array" ref="Q32">_xlfn._xlws.FILTER(CHOOSE({1},Pesadas[Kg]),(Pesadas[Numero]=G32)*(Pesadas[Fecha]=$Q$28),"S/P")</f>
        <v>S/P</v>
      </c>
      <c r="R32" s="364" t="str" cm="1">
        <f t="array" ref="R32">_xlfn._xlws.FILTER(CHOOSE({1},Pesadas[Kg]),(Pesadas[Numero]=G32)*(Pesadas[Fecha]=$R$28),"S/P")</f>
        <v>S/P</v>
      </c>
      <c r="S32" s="364" t="str" cm="1">
        <f t="array" ref="S32">_xlfn._xlws.FILTER(CHOOSE({1},Pesadas[Kg]),(Pesadas[Numero]=G32)*(Pesadas[Fecha]=$S$28),"S/P")</f>
        <v>S/P</v>
      </c>
      <c r="T32" s="411" t="str" cm="1">
        <f t="array" ref="T32">_xlfn._xlws.FILTER(CHOOSE({1},Pesadas[Kg]),(Pesadas[Numero]=$G32)*(Pesadas[Fecha]=$T$28),"S/P")</f>
        <v>S/P</v>
      </c>
    </row>
    <row r="33" spans="1:20" x14ac:dyDescent="0.25">
      <c r="A33" s="232">
        <v>45189</v>
      </c>
      <c r="B33" s="236" t="s">
        <v>306</v>
      </c>
      <c r="C33" s="237" t="s">
        <v>202</v>
      </c>
      <c r="D33" s="238">
        <v>3.3849999999999998</v>
      </c>
      <c r="G33" s="405"/>
      <c r="H33" s="353"/>
      <c r="I33" s="401">
        <f>_xlfn.MAXIFS(Partos[Fecha],Partos[Numero Vaca],G33)</f>
        <v>0</v>
      </c>
      <c r="J33" s="353" t="str" cm="1">
        <f t="array" ref="J33">_xlfn._xlws.FILTER(CHOOSE({1},Partos[Sexo]),(Partos[Numero Vaca]=G33)*(Partos[Fecha]=I33),"No Hay Partos Registrados")</f>
        <v>No Hay Partos Registrados</v>
      </c>
      <c r="K33" s="407" t="str" cm="1">
        <f t="array" ref="K33">_xlfn._xlws.FILTER(CHOOSE({1},Pesadas[Kg]),(Pesadas[Numero]=G33)*(Pesadas[Fecha]=$LK$28),"S/P")</f>
        <v>S/P</v>
      </c>
      <c r="L33" s="407" t="str" cm="1">
        <f t="array" ref="L33">_xlfn._xlws.FILTER(CHOOSE({1},Pesadas[Kg]),(Pesadas[Numero]=G33)*(Pesadas[Fecha]=$L$28),"S/P")</f>
        <v>S/P</v>
      </c>
      <c r="M33" s="407" t="str" cm="1">
        <f t="array" ref="M33">_xlfn._xlws.FILTER(CHOOSE({1},Pesadas[Kg]),(Pesadas[Numero]=G33)*(Pesadas[Fecha]=$M$28),"S/P")</f>
        <v>S/P</v>
      </c>
      <c r="N33" s="407" t="str" cm="1">
        <f t="array" ref="N33">_xlfn._xlws.FILTER(CHOOSE({1},Pesadas[Kg]),(Pesadas[Numero]=G33)*(Pesadas[Fecha]=$N$28),"S/P")</f>
        <v>S/P</v>
      </c>
      <c r="O33" s="407" t="str" cm="1">
        <f t="array" ref="O33">_xlfn._xlws.FILTER(CHOOSE({1},Pesadas[Kg]),(Pesadas[Numero]=G33)*(Pesadas[Fecha]=$N$28),"S/P")</f>
        <v>S/P</v>
      </c>
      <c r="P33" s="407" t="str" cm="1">
        <f t="array" ref="P33">_xlfn._xlws.FILTER(CHOOSE({1},Pesadas[Kg]),(Pesadas[Numero]=G33)*(Pesadas[Fecha]=$P$28),"S/P")</f>
        <v>S/P</v>
      </c>
      <c r="Q33" s="407" t="str" cm="1">
        <f t="array" ref="Q33">_xlfn._xlws.FILTER(CHOOSE({1},Pesadas[Kg]),(Pesadas[Numero]=G33)*(Pesadas[Fecha]=$Q$28),"S/P")</f>
        <v>S/P</v>
      </c>
      <c r="R33" s="407" t="str" cm="1">
        <f t="array" ref="R33">_xlfn._xlws.FILTER(CHOOSE({1},Pesadas[Kg]),(Pesadas[Numero]=G33)*(Pesadas[Fecha]=$R$28),"S/P")</f>
        <v>S/P</v>
      </c>
      <c r="S33" s="407" t="str" cm="1">
        <f t="array" ref="S33">_xlfn._xlws.FILTER(CHOOSE({1},Pesadas[Kg]),(Pesadas[Numero]=G33)*(Pesadas[Fecha]=$S$28),"S/P")</f>
        <v>S/P</v>
      </c>
      <c r="T33" s="410" t="str" cm="1">
        <f t="array" ref="T33">_xlfn._xlws.FILTER(CHOOSE({1},Pesadas[Kg]),(Pesadas[Numero]=$G33)*(Pesadas[Fecha]=$T$28),"S/P")</f>
        <v>S/P</v>
      </c>
    </row>
    <row r="34" spans="1:20" x14ac:dyDescent="0.25">
      <c r="A34" s="232">
        <v>45189</v>
      </c>
      <c r="B34" s="239" t="s">
        <v>114</v>
      </c>
      <c r="C34" s="240" t="s">
        <v>303</v>
      </c>
      <c r="D34" s="241">
        <v>4.29</v>
      </c>
      <c r="G34" s="406"/>
      <c r="H34" s="357"/>
      <c r="I34" s="402">
        <f>_xlfn.MAXIFS(Partos[Fecha],Partos[Numero Vaca],G34)</f>
        <v>0</v>
      </c>
      <c r="J34" s="357" t="str" cm="1">
        <f t="array" ref="J34">_xlfn._xlws.FILTER(CHOOSE({1},Partos[Sexo]),(Partos[Numero Vaca]=G34)*(Partos[Fecha]=I34),"No Hay Partos Registrados")</f>
        <v>No Hay Partos Registrados</v>
      </c>
      <c r="K34" s="407" t="str" cm="1">
        <f t="array" ref="K34">_xlfn._xlws.FILTER(CHOOSE({1},Pesadas[Kg]),(Pesadas[Numero]=G34)*(Pesadas[Fecha]=$LK$28),"S/P")</f>
        <v>S/P</v>
      </c>
      <c r="L34" s="364" t="str" cm="1">
        <f t="array" ref="L34">_xlfn._xlws.FILTER(CHOOSE({1},Pesadas[Kg]),(Pesadas[Numero]=G34)*(Pesadas[Fecha]=$L$28),"S/P")</f>
        <v>S/P</v>
      </c>
      <c r="M34" s="364" t="str" cm="1">
        <f t="array" ref="M34">_xlfn._xlws.FILTER(CHOOSE({1},Pesadas[Kg]),(Pesadas[Numero]=G34)*(Pesadas[Fecha]=$M$28),"S/P")</f>
        <v>S/P</v>
      </c>
      <c r="N34" s="364" t="str" cm="1">
        <f t="array" ref="N34">_xlfn._xlws.FILTER(CHOOSE({1},Pesadas[Kg]),(Pesadas[Numero]=G34)*(Pesadas[Fecha]=$N$28),"S/P")</f>
        <v>S/P</v>
      </c>
      <c r="O34" s="364" t="str" cm="1">
        <f t="array" ref="O34">_xlfn._xlws.FILTER(CHOOSE({1},Pesadas[Kg]),(Pesadas[Numero]=G34)*(Pesadas[Fecha]=$N$28),"S/P")</f>
        <v>S/P</v>
      </c>
      <c r="P34" s="364" t="str" cm="1">
        <f t="array" ref="P34">_xlfn._xlws.FILTER(CHOOSE({1},Pesadas[Kg]),(Pesadas[Numero]=G34)*(Pesadas[Fecha]=$P$28),"S/P")</f>
        <v>S/P</v>
      </c>
      <c r="Q34" s="364" t="str" cm="1">
        <f t="array" ref="Q34">_xlfn._xlws.FILTER(CHOOSE({1},Pesadas[Kg]),(Pesadas[Numero]=G34)*(Pesadas[Fecha]=$Q$28),"S/P")</f>
        <v>S/P</v>
      </c>
      <c r="R34" s="364" t="str" cm="1">
        <f t="array" ref="R34">_xlfn._xlws.FILTER(CHOOSE({1},Pesadas[Kg]),(Pesadas[Numero]=G34)*(Pesadas[Fecha]=$R$28),"S/P")</f>
        <v>S/P</v>
      </c>
      <c r="S34" s="364" t="str" cm="1">
        <f t="array" ref="S34">_xlfn._xlws.FILTER(CHOOSE({1},Pesadas[Kg]),(Pesadas[Numero]=G34)*(Pesadas[Fecha]=$S$28),"S/P")</f>
        <v>S/P</v>
      </c>
      <c r="T34" s="411" t="str" cm="1">
        <f t="array" ref="T34">_xlfn._xlws.FILTER(CHOOSE({1},Pesadas[Kg]),(Pesadas[Numero]=$G34)*(Pesadas[Fecha]=$T$28),"S/P")</f>
        <v>S/P</v>
      </c>
    </row>
    <row r="35" spans="1:20" x14ac:dyDescent="0.25">
      <c r="A35" s="232">
        <v>45219</v>
      </c>
      <c r="B35" s="236" t="s">
        <v>191</v>
      </c>
      <c r="C35" s="237" t="s">
        <v>204</v>
      </c>
      <c r="D35" s="241">
        <v>0</v>
      </c>
      <c r="G35" s="405"/>
      <c r="H35" s="353"/>
      <c r="I35" s="401">
        <f>_xlfn.MAXIFS(Partos[Fecha],Partos[Numero Vaca],G35)</f>
        <v>0</v>
      </c>
      <c r="J35" s="353" t="str" cm="1">
        <f t="array" ref="J35">_xlfn._xlws.FILTER(CHOOSE({1},Partos[Sexo]),(Partos[Numero Vaca]=G35)*(Partos[Fecha]=I35),"No Hay Partos Registrados")</f>
        <v>No Hay Partos Registrados</v>
      </c>
      <c r="K35" s="407" t="str" cm="1">
        <f t="array" ref="K35">_xlfn._xlws.FILTER(CHOOSE({1},Pesadas[Kg]),(Pesadas[Numero]=G35)*(Pesadas[Fecha]=$LK$28),"S/P")</f>
        <v>S/P</v>
      </c>
      <c r="L35" s="407" t="str" cm="1">
        <f t="array" ref="L35">_xlfn._xlws.FILTER(CHOOSE({1},Pesadas[Kg]),(Pesadas[Numero]=G35)*(Pesadas[Fecha]=$L$28),"S/P")</f>
        <v>S/P</v>
      </c>
      <c r="M35" s="407" t="str" cm="1">
        <f t="array" ref="M35">_xlfn._xlws.FILTER(CHOOSE({1},Pesadas[Kg]),(Pesadas[Numero]=G35)*(Pesadas[Fecha]=$M$28),"S/P")</f>
        <v>S/P</v>
      </c>
      <c r="N35" s="407" t="str" cm="1">
        <f t="array" ref="N35">_xlfn._xlws.FILTER(CHOOSE({1},Pesadas[Kg]),(Pesadas[Numero]=G35)*(Pesadas[Fecha]=$N$28),"S/P")</f>
        <v>S/P</v>
      </c>
      <c r="O35" s="407" t="str" cm="1">
        <f t="array" ref="O35">_xlfn._xlws.FILTER(CHOOSE({1},Pesadas[Kg]),(Pesadas[Numero]=G35)*(Pesadas[Fecha]=$N$28),"S/P")</f>
        <v>S/P</v>
      </c>
      <c r="P35" s="407" t="str" cm="1">
        <f t="array" ref="P35">_xlfn._xlws.FILTER(CHOOSE({1},Pesadas[Kg]),(Pesadas[Numero]=G35)*(Pesadas[Fecha]=$P$28),"S/P")</f>
        <v>S/P</v>
      </c>
      <c r="Q35" s="407" t="str" cm="1">
        <f t="array" ref="Q35">_xlfn._xlws.FILTER(CHOOSE({1},Pesadas[Kg]),(Pesadas[Numero]=G35)*(Pesadas[Fecha]=$Q$28),"S/P")</f>
        <v>S/P</v>
      </c>
      <c r="R35" s="407" t="str" cm="1">
        <f t="array" ref="R35">_xlfn._xlws.FILTER(CHOOSE({1},Pesadas[Kg]),(Pesadas[Numero]=G35)*(Pesadas[Fecha]=$R$28),"S/P")</f>
        <v>S/P</v>
      </c>
      <c r="S35" s="407" t="str" cm="1">
        <f t="array" ref="S35">_xlfn._xlws.FILTER(CHOOSE({1},Pesadas[Kg]),(Pesadas[Numero]=G35)*(Pesadas[Fecha]=$S$28),"S/P")</f>
        <v>S/P</v>
      </c>
      <c r="T35" s="410" t="str" cm="1">
        <f t="array" ref="T35">_xlfn._xlws.FILTER(CHOOSE({1},Pesadas[Kg]),(Pesadas[Numero]=$G35)*(Pesadas[Fecha]=$T$28),"S/P")</f>
        <v>S/P</v>
      </c>
    </row>
    <row r="36" spans="1:20" x14ac:dyDescent="0.25">
      <c r="A36" s="232">
        <v>45219</v>
      </c>
      <c r="B36" s="236" t="s">
        <v>309</v>
      </c>
      <c r="C36" s="237" t="s">
        <v>310</v>
      </c>
      <c r="D36" s="241">
        <v>0</v>
      </c>
      <c r="G36" s="406"/>
      <c r="H36" s="357"/>
      <c r="I36" s="402">
        <f>_xlfn.MAXIFS(Partos[Fecha],Partos[Numero Vaca],G36)</f>
        <v>0</v>
      </c>
      <c r="J36" s="357" t="str" cm="1">
        <f t="array" ref="J36">_xlfn._xlws.FILTER(CHOOSE({1},Partos[Sexo]),(Partos[Numero Vaca]=G36)*(Partos[Fecha]=I36),"No Hay Partos Registrados")</f>
        <v>No Hay Partos Registrados</v>
      </c>
      <c r="K36" s="407" t="str" cm="1">
        <f t="array" ref="K36">_xlfn._xlws.FILTER(CHOOSE({1},Pesadas[Kg]),(Pesadas[Numero]=G36)*(Pesadas[Fecha]=$LK$28),"S/P")</f>
        <v>S/P</v>
      </c>
      <c r="L36" s="364" t="str" cm="1">
        <f t="array" ref="L36">_xlfn._xlws.FILTER(CHOOSE({1},Pesadas[Kg]),(Pesadas[Numero]=G36)*(Pesadas[Fecha]=$L$28),"S/P")</f>
        <v>S/P</v>
      </c>
      <c r="M36" s="364" t="str" cm="1">
        <f t="array" ref="M36">_xlfn._xlws.FILTER(CHOOSE({1},Pesadas[Kg]),(Pesadas[Numero]=G36)*(Pesadas[Fecha]=$M$28),"S/P")</f>
        <v>S/P</v>
      </c>
      <c r="N36" s="364" t="str" cm="1">
        <f t="array" ref="N36">_xlfn._xlws.FILTER(CHOOSE({1},Pesadas[Kg]),(Pesadas[Numero]=G36)*(Pesadas[Fecha]=$N$28),"S/P")</f>
        <v>S/P</v>
      </c>
      <c r="O36" s="364" t="str" cm="1">
        <f t="array" ref="O36">_xlfn._xlws.FILTER(CHOOSE({1},Pesadas[Kg]),(Pesadas[Numero]=G36)*(Pesadas[Fecha]=$N$28),"S/P")</f>
        <v>S/P</v>
      </c>
      <c r="P36" s="364" t="str" cm="1">
        <f t="array" ref="P36">_xlfn._xlws.FILTER(CHOOSE({1},Pesadas[Kg]),(Pesadas[Numero]=G36)*(Pesadas[Fecha]=$P$28),"S/P")</f>
        <v>S/P</v>
      </c>
      <c r="Q36" s="364" t="str" cm="1">
        <f t="array" ref="Q36">_xlfn._xlws.FILTER(CHOOSE({1},Pesadas[Kg]),(Pesadas[Numero]=G36)*(Pesadas[Fecha]=$Q$28),"S/P")</f>
        <v>S/P</v>
      </c>
      <c r="R36" s="364" t="str" cm="1">
        <f t="array" ref="R36">_xlfn._xlws.FILTER(CHOOSE({1},Pesadas[Kg]),(Pesadas[Numero]=G36)*(Pesadas[Fecha]=$R$28),"S/P")</f>
        <v>S/P</v>
      </c>
      <c r="S36" s="364" t="str" cm="1">
        <f t="array" ref="S36">_xlfn._xlws.FILTER(CHOOSE({1},Pesadas[Kg]),(Pesadas[Numero]=G36)*(Pesadas[Fecha]=$S$28),"S/P")</f>
        <v>S/P</v>
      </c>
      <c r="T36" s="411" t="str" cm="1">
        <f t="array" ref="T36">_xlfn._xlws.FILTER(CHOOSE({1},Pesadas[Kg]),(Pesadas[Numero]=$G36)*(Pesadas[Fecha]=$T$28),"S/P")</f>
        <v>S/P</v>
      </c>
    </row>
    <row r="37" spans="1:20" x14ac:dyDescent="0.25">
      <c r="A37" s="232">
        <v>45219</v>
      </c>
      <c r="B37" s="239" t="s">
        <v>307</v>
      </c>
      <c r="C37" s="240" t="s">
        <v>308</v>
      </c>
      <c r="D37" s="241">
        <v>2.6549999999999998</v>
      </c>
      <c r="G37" s="405"/>
      <c r="H37" s="353"/>
      <c r="I37" s="401">
        <f>_xlfn.MAXIFS(Partos[Fecha],Partos[Numero Vaca],G37)</f>
        <v>0</v>
      </c>
      <c r="J37" s="353" t="str" cm="1">
        <f t="array" ref="J37">_xlfn._xlws.FILTER(CHOOSE({1},Partos[Sexo]),(Partos[Numero Vaca]=G37)*(Partos[Fecha]=I37),"No Hay Partos Registrados")</f>
        <v>No Hay Partos Registrados</v>
      </c>
      <c r="K37" s="407" t="str" cm="1">
        <f t="array" ref="K37">_xlfn._xlws.FILTER(CHOOSE({1},Pesadas[Kg]),(Pesadas[Numero]=G37)*(Pesadas[Fecha]=$LK$28),"S/P")</f>
        <v>S/P</v>
      </c>
      <c r="L37" s="407" t="str" cm="1">
        <f t="array" ref="L37">_xlfn._xlws.FILTER(CHOOSE({1},Pesadas[Kg]),(Pesadas[Numero]=G37)*(Pesadas[Fecha]=$L$28),"S/P")</f>
        <v>S/P</v>
      </c>
      <c r="M37" s="407" t="str" cm="1">
        <f t="array" ref="M37">_xlfn._xlws.FILTER(CHOOSE({1},Pesadas[Kg]),(Pesadas[Numero]=G37)*(Pesadas[Fecha]=$M$28),"S/P")</f>
        <v>S/P</v>
      </c>
      <c r="N37" s="407" t="str" cm="1">
        <f t="array" ref="N37">_xlfn._xlws.FILTER(CHOOSE({1},Pesadas[Kg]),(Pesadas[Numero]=G37)*(Pesadas[Fecha]=$N$28),"S/P")</f>
        <v>S/P</v>
      </c>
      <c r="O37" s="407" t="str" cm="1">
        <f t="array" ref="O37">_xlfn._xlws.FILTER(CHOOSE({1},Pesadas[Kg]),(Pesadas[Numero]=G37)*(Pesadas[Fecha]=$N$28),"S/P")</f>
        <v>S/P</v>
      </c>
      <c r="P37" s="407" t="str" cm="1">
        <f t="array" ref="P37">_xlfn._xlws.FILTER(CHOOSE({1},Pesadas[Kg]),(Pesadas[Numero]=G37)*(Pesadas[Fecha]=$P$28),"S/P")</f>
        <v>S/P</v>
      </c>
      <c r="Q37" s="407" t="str" cm="1">
        <f t="array" ref="Q37">_xlfn._xlws.FILTER(CHOOSE({1},Pesadas[Kg]),(Pesadas[Numero]=G37)*(Pesadas[Fecha]=$Q$28),"S/P")</f>
        <v>S/P</v>
      </c>
      <c r="R37" s="407" t="str" cm="1">
        <f t="array" ref="R37">_xlfn._xlws.FILTER(CHOOSE({1},Pesadas[Kg]),(Pesadas[Numero]=G37)*(Pesadas[Fecha]=$R$28),"S/P")</f>
        <v>S/P</v>
      </c>
      <c r="S37" s="407" t="str" cm="1">
        <f t="array" ref="S37">_xlfn._xlws.FILTER(CHOOSE({1},Pesadas[Kg]),(Pesadas[Numero]=G37)*(Pesadas[Fecha]=$S$28),"S/P")</f>
        <v>S/P</v>
      </c>
      <c r="T37" s="410" t="str" cm="1">
        <f t="array" ref="T37">_xlfn._xlws.FILTER(CHOOSE({1},Pesadas[Kg]),(Pesadas[Numero]=$G37)*(Pesadas[Fecha]=$T$28),"S/P")</f>
        <v>S/P</v>
      </c>
    </row>
    <row r="38" spans="1:20" x14ac:dyDescent="0.25">
      <c r="A38" s="232">
        <v>45219</v>
      </c>
      <c r="B38" s="236" t="s">
        <v>196</v>
      </c>
      <c r="C38" s="237" t="s">
        <v>208</v>
      </c>
      <c r="D38" s="241">
        <v>0</v>
      </c>
      <c r="G38" s="406"/>
      <c r="H38" s="357"/>
      <c r="I38" s="402">
        <f>_xlfn.MAXIFS(Partos[Fecha],Partos[Numero Vaca],G38)</f>
        <v>0</v>
      </c>
      <c r="J38" s="357" t="str" cm="1">
        <f t="array" ref="J38">_xlfn._xlws.FILTER(CHOOSE({1},Partos[Sexo]),(Partos[Numero Vaca]=G38)*(Partos[Fecha]=I38),"No Hay Partos Registrados")</f>
        <v>No Hay Partos Registrados</v>
      </c>
      <c r="K38" s="407" t="str" cm="1">
        <f t="array" ref="K38">_xlfn._xlws.FILTER(CHOOSE({1},Pesadas[Kg]),(Pesadas[Numero]=G38)*(Pesadas[Fecha]=$LK$28),"S/P")</f>
        <v>S/P</v>
      </c>
      <c r="L38" s="364" t="str" cm="1">
        <f t="array" ref="L38">_xlfn._xlws.FILTER(CHOOSE({1},Pesadas[Kg]),(Pesadas[Numero]=G38)*(Pesadas[Fecha]=$L$28),"S/P")</f>
        <v>S/P</v>
      </c>
      <c r="M38" s="364" t="str" cm="1">
        <f t="array" ref="M38">_xlfn._xlws.FILTER(CHOOSE({1},Pesadas[Kg]),(Pesadas[Numero]=G38)*(Pesadas[Fecha]=$M$28),"S/P")</f>
        <v>S/P</v>
      </c>
      <c r="N38" s="364" t="str" cm="1">
        <f t="array" ref="N38">_xlfn._xlws.FILTER(CHOOSE({1},Pesadas[Kg]),(Pesadas[Numero]=G38)*(Pesadas[Fecha]=$N$28),"S/P")</f>
        <v>S/P</v>
      </c>
      <c r="O38" s="364" t="str" cm="1">
        <f t="array" ref="O38">_xlfn._xlws.FILTER(CHOOSE({1},Pesadas[Kg]),(Pesadas[Numero]=G38)*(Pesadas[Fecha]=$N$28),"S/P")</f>
        <v>S/P</v>
      </c>
      <c r="P38" s="364" t="str" cm="1">
        <f t="array" ref="P38">_xlfn._xlws.FILTER(CHOOSE({1},Pesadas[Kg]),(Pesadas[Numero]=G38)*(Pesadas[Fecha]=$P$28),"S/P")</f>
        <v>S/P</v>
      </c>
      <c r="Q38" s="364" t="str" cm="1">
        <f t="array" ref="Q38">_xlfn._xlws.FILTER(CHOOSE({1},Pesadas[Kg]),(Pesadas[Numero]=G38)*(Pesadas[Fecha]=$Q$28),"S/P")</f>
        <v>S/P</v>
      </c>
      <c r="R38" s="364" t="str" cm="1">
        <f t="array" ref="R38">_xlfn._xlws.FILTER(CHOOSE({1},Pesadas[Kg]),(Pesadas[Numero]=G38)*(Pesadas[Fecha]=$R$28),"S/P")</f>
        <v>S/P</v>
      </c>
      <c r="S38" s="364" t="str" cm="1">
        <f t="array" ref="S38">_xlfn._xlws.FILTER(CHOOSE({1},Pesadas[Kg]),(Pesadas[Numero]=G38)*(Pesadas[Fecha]=$S$28),"S/P")</f>
        <v>S/P</v>
      </c>
      <c r="T38" s="411" t="str" cm="1">
        <f t="array" ref="T38">_xlfn._xlws.FILTER(CHOOSE({1},Pesadas[Kg]),(Pesadas[Numero]=$G38)*(Pesadas[Fecha]=$T$28),"S/P")</f>
        <v>S/P</v>
      </c>
    </row>
    <row r="39" spans="1:20" x14ac:dyDescent="0.25">
      <c r="A39" s="232">
        <v>45219</v>
      </c>
      <c r="B39" s="236" t="s">
        <v>195</v>
      </c>
      <c r="C39" s="237" t="s">
        <v>207</v>
      </c>
      <c r="D39" s="241">
        <v>0</v>
      </c>
      <c r="G39" s="405"/>
      <c r="H39" s="353"/>
      <c r="I39" s="401">
        <f>_xlfn.MAXIFS(Partos[Fecha],Partos[Numero Vaca],G39)</f>
        <v>0</v>
      </c>
      <c r="J39" s="353" t="str" cm="1">
        <f t="array" ref="J39">_xlfn._xlws.FILTER(CHOOSE({1},Partos[Sexo]),(Partos[Numero Vaca]=G39)*(Partos[Fecha]=I39),"No Hay Partos Registrados")</f>
        <v>No Hay Partos Registrados</v>
      </c>
      <c r="K39" s="407" t="str" cm="1">
        <f t="array" ref="K39">_xlfn._xlws.FILTER(CHOOSE({1},Pesadas[Kg]),(Pesadas[Numero]=G39)*(Pesadas[Fecha]=$LK$28),"S/P")</f>
        <v>S/P</v>
      </c>
      <c r="L39" s="407" t="str" cm="1">
        <f t="array" ref="L39">_xlfn._xlws.FILTER(CHOOSE({1},Pesadas[Kg]),(Pesadas[Numero]=G39)*(Pesadas[Fecha]=$L$28),"S/P")</f>
        <v>S/P</v>
      </c>
      <c r="M39" s="407" t="str" cm="1">
        <f t="array" ref="M39">_xlfn._xlws.FILTER(CHOOSE({1},Pesadas[Kg]),(Pesadas[Numero]=G39)*(Pesadas[Fecha]=$M$28),"S/P")</f>
        <v>S/P</v>
      </c>
      <c r="N39" s="407" t="str" cm="1">
        <f t="array" ref="N39">_xlfn._xlws.FILTER(CHOOSE({1},Pesadas[Kg]),(Pesadas[Numero]=G39)*(Pesadas[Fecha]=$N$28),"S/P")</f>
        <v>S/P</v>
      </c>
      <c r="O39" s="407" t="str" cm="1">
        <f t="array" ref="O39">_xlfn._xlws.FILTER(CHOOSE({1},Pesadas[Kg]),(Pesadas[Numero]=G39)*(Pesadas[Fecha]=$N$28),"S/P")</f>
        <v>S/P</v>
      </c>
      <c r="P39" s="407" t="str" cm="1">
        <f t="array" ref="P39">_xlfn._xlws.FILTER(CHOOSE({1},Pesadas[Kg]),(Pesadas[Numero]=G39)*(Pesadas[Fecha]=$P$28),"S/P")</f>
        <v>S/P</v>
      </c>
      <c r="Q39" s="407" t="str" cm="1">
        <f t="array" ref="Q39">_xlfn._xlws.FILTER(CHOOSE({1},Pesadas[Kg]),(Pesadas[Numero]=G39)*(Pesadas[Fecha]=$Q$28),"S/P")</f>
        <v>S/P</v>
      </c>
      <c r="R39" s="407" t="str" cm="1">
        <f t="array" ref="R39">_xlfn._xlws.FILTER(CHOOSE({1},Pesadas[Kg]),(Pesadas[Numero]=G39)*(Pesadas[Fecha]=$R$28),"S/P")</f>
        <v>S/P</v>
      </c>
      <c r="S39" s="407" t="str" cm="1">
        <f t="array" ref="S39">_xlfn._xlws.FILTER(CHOOSE({1},Pesadas[Kg]),(Pesadas[Numero]=G39)*(Pesadas[Fecha]=$S$28),"S/P")</f>
        <v>S/P</v>
      </c>
      <c r="T39" s="410" t="str" cm="1">
        <f t="array" ref="T39">_xlfn._xlws.FILTER(CHOOSE({1},Pesadas[Kg]),(Pesadas[Numero]=$G39)*(Pesadas[Fecha]=$T$28),"S/P")</f>
        <v>S/P</v>
      </c>
    </row>
    <row r="40" spans="1:20" x14ac:dyDescent="0.25">
      <c r="A40" s="232">
        <v>45219</v>
      </c>
      <c r="B40" s="236" t="s">
        <v>194</v>
      </c>
      <c r="C40" s="237" t="s">
        <v>209</v>
      </c>
      <c r="D40" s="241">
        <v>0</v>
      </c>
      <c r="G40" s="406"/>
      <c r="H40" s="357"/>
      <c r="I40" s="402">
        <f>_xlfn.MAXIFS(Partos[Fecha],Partos[Numero Vaca],G40)</f>
        <v>0</v>
      </c>
      <c r="J40" s="357" t="str" cm="1">
        <f t="array" ref="J40">_xlfn._xlws.FILTER(CHOOSE({1},Partos[Sexo]),(Partos[Numero Vaca]=G40)*(Partos[Fecha]=I40),"No Hay Partos Registrados")</f>
        <v>No Hay Partos Registrados</v>
      </c>
      <c r="K40" s="407" t="str" cm="1">
        <f t="array" ref="K40">_xlfn._xlws.FILTER(CHOOSE({1},Pesadas[Kg]),(Pesadas[Numero]=G40)*(Pesadas[Fecha]=$LK$28),"S/P")</f>
        <v>S/P</v>
      </c>
      <c r="L40" s="364" t="str" cm="1">
        <f t="array" ref="L40">_xlfn._xlws.FILTER(CHOOSE({1},Pesadas[Kg]),(Pesadas[Numero]=G40)*(Pesadas[Fecha]=$L$28),"S/P")</f>
        <v>S/P</v>
      </c>
      <c r="M40" s="364" t="str" cm="1">
        <f t="array" ref="M40">_xlfn._xlws.FILTER(CHOOSE({1},Pesadas[Kg]),(Pesadas[Numero]=G40)*(Pesadas[Fecha]=$M$28),"S/P")</f>
        <v>S/P</v>
      </c>
      <c r="N40" s="364" t="str" cm="1">
        <f t="array" ref="N40">_xlfn._xlws.FILTER(CHOOSE({1},Pesadas[Kg]),(Pesadas[Numero]=G40)*(Pesadas[Fecha]=$N$28),"S/P")</f>
        <v>S/P</v>
      </c>
      <c r="O40" s="364" t="str" cm="1">
        <f t="array" ref="O40">_xlfn._xlws.FILTER(CHOOSE({1},Pesadas[Kg]),(Pesadas[Numero]=G40)*(Pesadas[Fecha]=$N$28),"S/P")</f>
        <v>S/P</v>
      </c>
      <c r="P40" s="364" t="str" cm="1">
        <f t="array" ref="P40">_xlfn._xlws.FILTER(CHOOSE({1},Pesadas[Kg]),(Pesadas[Numero]=G40)*(Pesadas[Fecha]=$P$28),"S/P")</f>
        <v>S/P</v>
      </c>
      <c r="Q40" s="364" t="str" cm="1">
        <f t="array" ref="Q40">_xlfn._xlws.FILTER(CHOOSE({1},Pesadas[Kg]),(Pesadas[Numero]=G40)*(Pesadas[Fecha]=$Q$28),"S/P")</f>
        <v>S/P</v>
      </c>
      <c r="R40" s="364" t="str" cm="1">
        <f t="array" ref="R40">_xlfn._xlws.FILTER(CHOOSE({1},Pesadas[Kg]),(Pesadas[Numero]=G40)*(Pesadas[Fecha]=$R$28),"S/P")</f>
        <v>S/P</v>
      </c>
      <c r="S40" s="364" t="str" cm="1">
        <f t="array" ref="S40">_xlfn._xlws.FILTER(CHOOSE({1},Pesadas[Kg]),(Pesadas[Numero]=G40)*(Pesadas[Fecha]=$S$28),"S/P")</f>
        <v>S/P</v>
      </c>
      <c r="T40" s="411" t="str" cm="1">
        <f t="array" ref="T40">_xlfn._xlws.FILTER(CHOOSE({1},Pesadas[Kg]),(Pesadas[Numero]=$G40)*(Pesadas[Fecha]=$T$28),"S/P")</f>
        <v>S/P</v>
      </c>
    </row>
    <row r="41" spans="1:20" x14ac:dyDescent="0.25">
      <c r="A41" s="232">
        <v>45219</v>
      </c>
      <c r="B41" s="239" t="s">
        <v>192</v>
      </c>
      <c r="C41" s="240" t="s">
        <v>205</v>
      </c>
      <c r="D41" s="241">
        <v>1.3149999999999999</v>
      </c>
      <c r="G41" s="405"/>
      <c r="H41" s="353"/>
      <c r="I41" s="401"/>
      <c r="J41" s="353"/>
      <c r="K41" s="407" t="str" cm="1">
        <f t="array" ref="K41">_xlfn._xlws.FILTER(CHOOSE({1},Pesadas[Kg]),(Pesadas[Numero]=G41)*(Pesadas[Fecha]=$LK$28),"S/P")</f>
        <v>S/P</v>
      </c>
      <c r="L41" s="407" t="e" vm="2">
        <f ca="1">SUM(L29:L40)</f>
        <v>#VALUE!</v>
      </c>
      <c r="M41" s="407" t="e" vm="2">
        <f t="shared" ref="M41:T41" ca="1" si="0">SUM(M29:M40)</f>
        <v>#VALUE!</v>
      </c>
      <c r="N41" s="407" t="e" vm="2">
        <f t="shared" ca="1" si="0"/>
        <v>#VALUE!</v>
      </c>
      <c r="O41" s="407" t="e" vm="2">
        <f t="shared" ca="1" si="0"/>
        <v>#VALUE!</v>
      </c>
      <c r="P41" s="407" t="e" vm="2">
        <f t="shared" ca="1" si="0"/>
        <v>#VALUE!</v>
      </c>
      <c r="Q41" s="407" t="e" vm="2">
        <f t="shared" ca="1" si="0"/>
        <v>#VALUE!</v>
      </c>
      <c r="R41" s="407" t="e" vm="2">
        <f t="shared" ca="1" si="0"/>
        <v>#VALUE!</v>
      </c>
      <c r="S41" s="407" t="e" vm="2">
        <f t="shared" ca="1" si="0"/>
        <v>#VALUE!</v>
      </c>
      <c r="T41" s="407" t="e" vm="2">
        <f t="shared" ca="1" si="0"/>
        <v>#VALUE!</v>
      </c>
    </row>
    <row r="42" spans="1:20" x14ac:dyDescent="0.25">
      <c r="A42" s="232">
        <v>45219</v>
      </c>
      <c r="B42" s="236" t="s">
        <v>188</v>
      </c>
      <c r="C42" s="237" t="s">
        <v>201</v>
      </c>
      <c r="D42" s="241">
        <v>0</v>
      </c>
      <c r="G42" s="406"/>
      <c r="H42" s="357"/>
      <c r="I42" s="402"/>
      <c r="J42" s="357"/>
      <c r="K42" s="407" t="str" cm="1">
        <f t="array" ref="K42">_xlfn._xlws.FILTER(CHOOSE({1},Pesadas[Kg]),(Pesadas[Numero]=G42)*(Pesadas[Fecha]=$LK$28),"S/P")</f>
        <v>S/P</v>
      </c>
      <c r="L42" s="364">
        <f ca="1">COUNTIF('Control p.leche'!L$29:L$40,"&gt;0")</f>
        <v>0</v>
      </c>
      <c r="M42" s="364">
        <f ca="1">COUNTIF('Control p.leche'!M$29:M$40,"&gt;0")</f>
        <v>0</v>
      </c>
      <c r="N42" s="364">
        <f ca="1">COUNTIF('Control p.leche'!N$29:N$40,"&gt;0")</f>
        <v>0</v>
      </c>
      <c r="O42" s="364">
        <f ca="1">COUNTIF('Control p.leche'!O$29:O$40,"&gt;0")</f>
        <v>0</v>
      </c>
      <c r="P42" s="364">
        <f ca="1">COUNTIF('Control p.leche'!P$29:P$40,"&gt;0")</f>
        <v>0</v>
      </c>
      <c r="Q42" s="364">
        <f ca="1">COUNTIF('Control p.leche'!Q$29:Q$40,"&gt;0")</f>
        <v>0</v>
      </c>
      <c r="R42" s="364">
        <f ca="1">COUNTIF('Control p.leche'!R$29:R$40,"&gt;0")</f>
        <v>0</v>
      </c>
      <c r="S42" s="364">
        <f ca="1">COUNTIF('Control p.leche'!S$29:S$40,"&gt;0")</f>
        <v>0</v>
      </c>
      <c r="T42" s="364">
        <f ca="1">COUNTIF('Control p.leche'!T$29:T$40,"&gt;0")</f>
        <v>0</v>
      </c>
    </row>
    <row r="43" spans="1:20" ht="15.75" thickBot="1" x14ac:dyDescent="0.3">
      <c r="A43" s="232">
        <v>45219</v>
      </c>
      <c r="B43" s="236" t="s">
        <v>190</v>
      </c>
      <c r="C43" s="237" t="s">
        <v>210</v>
      </c>
      <c r="D43" s="241">
        <v>1.115</v>
      </c>
      <c r="G43" s="412"/>
      <c r="H43" s="413"/>
      <c r="I43" s="414"/>
      <c r="J43" s="413"/>
      <c r="K43" s="415" t="e">
        <f>K41/K42</f>
        <v>#VALUE!</v>
      </c>
      <c r="L43" s="415" t="e" vm="2">
        <f ca="1">L41/L42</f>
        <v>#VALUE!</v>
      </c>
      <c r="M43" s="415" t="e" vm="2">
        <f t="shared" ref="M43:T43" ca="1" si="1">M41/M42</f>
        <v>#VALUE!</v>
      </c>
      <c r="N43" s="415" t="e" vm="2">
        <f t="shared" ca="1" si="1"/>
        <v>#VALUE!</v>
      </c>
      <c r="O43" s="415" t="e" vm="2">
        <f t="shared" ca="1" si="1"/>
        <v>#VALUE!</v>
      </c>
      <c r="P43" s="415" t="e" vm="2">
        <f t="shared" ca="1" si="1"/>
        <v>#VALUE!</v>
      </c>
      <c r="Q43" s="415" t="e" vm="2">
        <f t="shared" ca="1" si="1"/>
        <v>#VALUE!</v>
      </c>
      <c r="R43" s="415" t="e" vm="2">
        <f t="shared" ca="1" si="1"/>
        <v>#VALUE!</v>
      </c>
      <c r="S43" s="415" t="e" vm="2">
        <f t="shared" ca="1" si="1"/>
        <v>#VALUE!</v>
      </c>
      <c r="T43" s="415" t="e" vm="2">
        <f t="shared" ca="1" si="1"/>
        <v>#VALUE!</v>
      </c>
    </row>
    <row r="44" spans="1:20" ht="15.75" thickBot="1" x14ac:dyDescent="0.3">
      <c r="A44" s="232">
        <v>45219</v>
      </c>
      <c r="B44" s="236" t="s">
        <v>187</v>
      </c>
      <c r="C44" s="237" t="s">
        <v>200</v>
      </c>
      <c r="D44" s="241">
        <v>2.2639999999999998</v>
      </c>
      <c r="I44" s="5"/>
    </row>
    <row r="45" spans="1:20" ht="15.75" thickBot="1" x14ac:dyDescent="0.3">
      <c r="A45" s="232">
        <v>45219</v>
      </c>
      <c r="B45" s="236" t="s">
        <v>185</v>
      </c>
      <c r="C45" s="237" t="s">
        <v>198</v>
      </c>
      <c r="D45" s="241">
        <v>4.4550000000000001</v>
      </c>
      <c r="G45" s="417" t="s">
        <v>378</v>
      </c>
      <c r="H45" s="416" t="str">
        <f>VLOOKUP(G45,Fichas[#All],2,FALSE)</f>
        <v>Esperanza</v>
      </c>
    </row>
    <row r="46" spans="1:20" x14ac:dyDescent="0.25">
      <c r="A46" s="232">
        <v>45219</v>
      </c>
      <c r="B46" s="236" t="s">
        <v>184</v>
      </c>
      <c r="C46" s="237" t="s">
        <v>197</v>
      </c>
      <c r="D46" s="241">
        <v>9.23</v>
      </c>
      <c r="G46" s="403" t="s">
        <v>22</v>
      </c>
      <c r="H46" s="479" t="s">
        <v>26</v>
      </c>
    </row>
    <row r="47" spans="1:20" x14ac:dyDescent="0.25">
      <c r="A47" s="232">
        <v>45219</v>
      </c>
      <c r="B47" s="236" t="s">
        <v>193</v>
      </c>
      <c r="C47" s="237" t="s">
        <v>206</v>
      </c>
      <c r="D47" s="241">
        <v>7</v>
      </c>
      <c r="G47" s="6" cm="1">
        <f t="array" ref="G47:H51">_xlfn._xlws.FILTER(CHOOSE({2,3},Partos[Numero Vaca],Partos[Fecha],Partos[Sexo]),Partos[Numero Vaca]=G45,S/p)</f>
        <v>44411</v>
      </c>
      <c r="H47" s="6" t="str">
        <v>Macho</v>
      </c>
    </row>
    <row r="48" spans="1:20" x14ac:dyDescent="0.25">
      <c r="A48" s="232">
        <v>45219</v>
      </c>
      <c r="B48" s="236" t="s">
        <v>304</v>
      </c>
      <c r="C48" s="237" t="s">
        <v>305</v>
      </c>
      <c r="D48" s="241">
        <v>7.16</v>
      </c>
      <c r="G48" s="6">
        <v>44814</v>
      </c>
      <c r="H48" s="6" t="str">
        <v>Macho</v>
      </c>
    </row>
    <row r="49" spans="1:43" x14ac:dyDescent="0.25">
      <c r="A49" s="232">
        <v>45219</v>
      </c>
      <c r="B49" s="236" t="s">
        <v>306</v>
      </c>
      <c r="C49" s="237" t="s">
        <v>202</v>
      </c>
      <c r="D49" s="241">
        <v>3.4</v>
      </c>
      <c r="G49" s="6">
        <v>45240</v>
      </c>
      <c r="H49" s="6" t="str">
        <v>Macho</v>
      </c>
    </row>
    <row r="50" spans="1:43" x14ac:dyDescent="0.25">
      <c r="A50" s="232">
        <v>45219</v>
      </c>
      <c r="B50" s="239" t="s">
        <v>114</v>
      </c>
      <c r="C50" s="240" t="s">
        <v>303</v>
      </c>
      <c r="D50" s="241">
        <v>4.5149999999999997</v>
      </c>
      <c r="G50" s="6">
        <v>45596</v>
      </c>
      <c r="H50" s="6" t="str">
        <v>Hembra</v>
      </c>
    </row>
    <row r="51" spans="1:43" x14ac:dyDescent="0.25">
      <c r="A51" s="232">
        <v>45250</v>
      </c>
      <c r="B51" s="242" t="s">
        <v>184</v>
      </c>
      <c r="C51" s="240" t="s">
        <v>197</v>
      </c>
      <c r="D51" s="243">
        <v>6.75</v>
      </c>
      <c r="G51" s="6">
        <v>45950</v>
      </c>
      <c r="H51" s="6" t="str">
        <v>Macho</v>
      </c>
    </row>
    <row r="52" spans="1:43" x14ac:dyDescent="0.25">
      <c r="A52" s="232">
        <v>45250</v>
      </c>
      <c r="B52" s="242" t="s">
        <v>304</v>
      </c>
      <c r="C52" s="240" t="s">
        <v>305</v>
      </c>
      <c r="D52" s="243">
        <v>4.96</v>
      </c>
      <c r="G52" s="6"/>
      <c r="H52" s="6"/>
    </row>
    <row r="53" spans="1:43" x14ac:dyDescent="0.25">
      <c r="A53" s="232">
        <v>45250</v>
      </c>
      <c r="B53" s="244" t="s">
        <v>193</v>
      </c>
      <c r="C53" s="237" t="s">
        <v>206</v>
      </c>
      <c r="D53" s="245">
        <v>4.9000000000000004</v>
      </c>
      <c r="G53"/>
      <c r="H53"/>
      <c r="I53" s="419"/>
    </row>
    <row r="54" spans="1:43" x14ac:dyDescent="0.25">
      <c r="A54" s="232">
        <v>45250</v>
      </c>
      <c r="B54" s="242" t="s">
        <v>114</v>
      </c>
      <c r="C54" s="240" t="s">
        <v>303</v>
      </c>
      <c r="D54" s="243">
        <v>3.43</v>
      </c>
      <c r="G54" s="5"/>
      <c r="H54" s="5"/>
      <c r="I54" s="419"/>
    </row>
    <row r="55" spans="1:43" x14ac:dyDescent="0.25">
      <c r="A55" s="232">
        <v>45250</v>
      </c>
      <c r="B55" s="244" t="s">
        <v>185</v>
      </c>
      <c r="C55" s="237" t="s">
        <v>198</v>
      </c>
      <c r="D55" s="245">
        <v>2.02</v>
      </c>
      <c r="G55" s="526" t="s">
        <v>667</v>
      </c>
      <c r="H55" s="526" t="s">
        <v>652</v>
      </c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</row>
    <row r="56" spans="1:43" x14ac:dyDescent="0.25">
      <c r="A56" s="232">
        <v>45250</v>
      </c>
      <c r="B56" s="244" t="s">
        <v>306</v>
      </c>
      <c r="C56" s="237" t="s">
        <v>202</v>
      </c>
      <c r="D56" s="245">
        <v>1.72</v>
      </c>
      <c r="G56" s="526" t="s">
        <v>666</v>
      </c>
      <c r="H56" s="429" t="s">
        <v>659</v>
      </c>
      <c r="I56" s="429" t="s">
        <v>660</v>
      </c>
      <c r="J56" s="429" t="s">
        <v>661</v>
      </c>
      <c r="K56" s="429" t="s">
        <v>662</v>
      </c>
      <c r="L56" s="429" t="s">
        <v>663</v>
      </c>
      <c r="M56" s="429" t="s">
        <v>664</v>
      </c>
      <c r="N56" s="429" t="s">
        <v>665</v>
      </c>
      <c r="O56" s="429" t="s">
        <v>654</v>
      </c>
      <c r="P56" s="429" t="s">
        <v>655</v>
      </c>
      <c r="Q56" s="429" t="s">
        <v>656</v>
      </c>
      <c r="R56" s="429" t="s">
        <v>657</v>
      </c>
      <c r="S56" s="429" t="s">
        <v>658</v>
      </c>
      <c r="T56" s="429" t="s">
        <v>653</v>
      </c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</row>
    <row r="57" spans="1:43" x14ac:dyDescent="0.25">
      <c r="A57" s="232">
        <v>45250</v>
      </c>
      <c r="B57" s="244" t="s">
        <v>307</v>
      </c>
      <c r="C57" s="237" t="s">
        <v>308</v>
      </c>
      <c r="D57" s="245">
        <v>3.68</v>
      </c>
      <c r="G57" s="124" t="s">
        <v>113</v>
      </c>
      <c r="H57" s="527">
        <v>16.724999999999998</v>
      </c>
      <c r="I57" s="527">
        <v>10.004999999999999</v>
      </c>
      <c r="J57" s="527">
        <v>21.720000000000002</v>
      </c>
      <c r="K57" s="527">
        <v>12.875</v>
      </c>
      <c r="L57" s="527">
        <v>10.039999999999999</v>
      </c>
      <c r="M57" s="527">
        <v>10.355</v>
      </c>
      <c r="N57" s="527">
        <v>9.7999999999999989</v>
      </c>
      <c r="O57" s="527">
        <v>8.1950000000000003</v>
      </c>
      <c r="P57" s="527">
        <v>4.3600000000000003</v>
      </c>
      <c r="Q57" s="527">
        <v>1.02</v>
      </c>
      <c r="R57" s="527">
        <v>6.15</v>
      </c>
      <c r="S57" s="527">
        <v>5.5</v>
      </c>
      <c r="T57" s="527">
        <v>116.745</v>
      </c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</row>
    <row r="58" spans="1:43" x14ac:dyDescent="0.25">
      <c r="A58" s="232">
        <v>45250</v>
      </c>
      <c r="B58" s="242" t="s">
        <v>187</v>
      </c>
      <c r="C58" s="240" t="s">
        <v>200</v>
      </c>
      <c r="D58" s="243">
        <v>0</v>
      </c>
      <c r="G58" s="124" t="s">
        <v>114</v>
      </c>
      <c r="H58" s="527">
        <v>5.585</v>
      </c>
      <c r="I58" s="527">
        <v>3.4649999999999999</v>
      </c>
      <c r="J58" s="527">
        <v>4.9399999999999995</v>
      </c>
      <c r="K58" s="527">
        <v>5.7549999999999999</v>
      </c>
      <c r="L58" s="527">
        <v>3.9299999999999997</v>
      </c>
      <c r="M58" s="527">
        <v>4.0599999999999996</v>
      </c>
      <c r="N58" s="527">
        <v>4.68</v>
      </c>
      <c r="O58" s="527">
        <v>6.6649999999999991</v>
      </c>
      <c r="P58" s="527">
        <v>6.84</v>
      </c>
      <c r="Q58" s="527">
        <v>7.1349999999999998</v>
      </c>
      <c r="R58" s="527">
        <v>4.51</v>
      </c>
      <c r="S58" s="527">
        <v>2.97</v>
      </c>
      <c r="T58" s="527">
        <v>60.534999999999997</v>
      </c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</row>
    <row r="59" spans="1:43" x14ac:dyDescent="0.25">
      <c r="A59" s="232">
        <v>45250</v>
      </c>
      <c r="B59" s="244" t="s">
        <v>192</v>
      </c>
      <c r="C59" s="237" t="s">
        <v>205</v>
      </c>
      <c r="D59" s="245">
        <v>0</v>
      </c>
      <c r="G59" s="124" t="s">
        <v>190</v>
      </c>
      <c r="H59" s="527">
        <v>23.34</v>
      </c>
      <c r="I59" s="527">
        <v>11.76</v>
      </c>
      <c r="J59" s="527">
        <v>26.055</v>
      </c>
      <c r="K59" s="527">
        <v>11.515000000000001</v>
      </c>
      <c r="L59" s="527">
        <v>9.8849999999999998</v>
      </c>
      <c r="M59" s="527">
        <v>8.77</v>
      </c>
      <c r="N59" s="527">
        <v>6.24</v>
      </c>
      <c r="O59" s="527">
        <v>5.18</v>
      </c>
      <c r="P59" s="527">
        <v>2.83</v>
      </c>
      <c r="Q59" s="527">
        <v>1.115</v>
      </c>
      <c r="R59" s="527">
        <v>0</v>
      </c>
      <c r="S59" s="527">
        <v>18.03</v>
      </c>
      <c r="T59" s="527">
        <v>124.72</v>
      </c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</row>
    <row r="60" spans="1:43" x14ac:dyDescent="0.25">
      <c r="A60" s="232">
        <v>45250</v>
      </c>
      <c r="B60" s="244" t="s">
        <v>190</v>
      </c>
      <c r="C60" s="237" t="s">
        <v>210</v>
      </c>
      <c r="D60" s="245">
        <v>0</v>
      </c>
      <c r="G60" s="124" t="s">
        <v>188</v>
      </c>
      <c r="H60" s="527">
        <v>0</v>
      </c>
      <c r="I60" s="527">
        <v>0</v>
      </c>
      <c r="J60" s="527"/>
      <c r="K60" s="527"/>
      <c r="L60" s="527"/>
      <c r="M60" s="527"/>
      <c r="N60" s="527"/>
      <c r="O60" s="527">
        <v>3.5</v>
      </c>
      <c r="P60" s="527">
        <v>3.9249999999999998</v>
      </c>
      <c r="Q60" s="527">
        <v>0</v>
      </c>
      <c r="R60" s="527">
        <v>0</v>
      </c>
      <c r="S60" s="527"/>
      <c r="T60" s="527">
        <v>7.4249999999999998</v>
      </c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</row>
    <row r="61" spans="1:43" x14ac:dyDescent="0.25">
      <c r="A61" s="232">
        <v>45250</v>
      </c>
      <c r="B61" s="244" t="s">
        <v>191</v>
      </c>
      <c r="C61" s="237" t="s">
        <v>204</v>
      </c>
      <c r="D61" s="245">
        <v>0</v>
      </c>
      <c r="G61" s="124" t="s">
        <v>191</v>
      </c>
      <c r="H61" s="527">
        <v>22.414999999999999</v>
      </c>
      <c r="I61" s="527">
        <v>9.6349999999999998</v>
      </c>
      <c r="J61" s="527">
        <v>18.544999999999998</v>
      </c>
      <c r="K61" s="527">
        <v>10.82</v>
      </c>
      <c r="L61" s="527">
        <v>7.7550000000000008</v>
      </c>
      <c r="M61" s="527">
        <v>8.9699999999999989</v>
      </c>
      <c r="N61" s="527">
        <v>6.6449999999999996</v>
      </c>
      <c r="O61" s="527">
        <v>10.185</v>
      </c>
      <c r="P61" s="527">
        <v>1.3299999999999998</v>
      </c>
      <c r="Q61" s="527">
        <v>0</v>
      </c>
      <c r="R61" s="527">
        <v>0</v>
      </c>
      <c r="S61" s="527">
        <v>3.6949999999999998</v>
      </c>
      <c r="T61" s="527">
        <v>99.99499999999999</v>
      </c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</row>
    <row r="62" spans="1:43" x14ac:dyDescent="0.25">
      <c r="A62" s="232">
        <v>45250</v>
      </c>
      <c r="B62" s="242" t="s">
        <v>309</v>
      </c>
      <c r="C62" s="240" t="s">
        <v>310</v>
      </c>
      <c r="D62" s="243">
        <v>7.22</v>
      </c>
      <c r="G62" s="124" t="s">
        <v>192</v>
      </c>
      <c r="H62" s="527">
        <v>0</v>
      </c>
      <c r="I62" s="527">
        <v>2.56</v>
      </c>
      <c r="J62" s="527">
        <v>5.6649999999999991</v>
      </c>
      <c r="K62" s="527">
        <v>8.9499999999999993</v>
      </c>
      <c r="L62" s="527">
        <v>2.9350000000000001</v>
      </c>
      <c r="M62" s="527"/>
      <c r="N62" s="527"/>
      <c r="O62" s="527">
        <v>3.9</v>
      </c>
      <c r="P62" s="527">
        <v>4.165</v>
      </c>
      <c r="Q62" s="527">
        <v>1.3149999999999999</v>
      </c>
      <c r="R62" s="527">
        <v>0</v>
      </c>
      <c r="S62" s="527">
        <v>0</v>
      </c>
      <c r="T62" s="527">
        <v>29.489999999999995</v>
      </c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</row>
    <row r="63" spans="1:43" x14ac:dyDescent="0.25">
      <c r="A63" s="232">
        <v>45250</v>
      </c>
      <c r="B63" s="242" t="s">
        <v>196</v>
      </c>
      <c r="C63" s="240" t="s">
        <v>208</v>
      </c>
      <c r="D63" s="243">
        <v>6.29</v>
      </c>
      <c r="G63" s="124" t="s">
        <v>184</v>
      </c>
      <c r="H63" s="527">
        <v>27.29</v>
      </c>
      <c r="I63" s="527">
        <v>10.984999999999999</v>
      </c>
      <c r="J63" s="527">
        <v>25.68</v>
      </c>
      <c r="K63" s="527">
        <v>14.95</v>
      </c>
      <c r="L63" s="527">
        <v>12.05</v>
      </c>
      <c r="M63" s="527">
        <v>7.9099999999999993</v>
      </c>
      <c r="N63" s="527">
        <v>3.4349999999999996</v>
      </c>
      <c r="O63" s="527">
        <v>9.1999999999999993</v>
      </c>
      <c r="P63" s="527">
        <v>9.1050000000000004</v>
      </c>
      <c r="Q63" s="527">
        <v>9.23</v>
      </c>
      <c r="R63" s="527">
        <v>16.53</v>
      </c>
      <c r="S63" s="527">
        <v>18.875</v>
      </c>
      <c r="T63" s="527">
        <v>165.24</v>
      </c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</row>
    <row r="64" spans="1:43" x14ac:dyDescent="0.25">
      <c r="A64" s="232">
        <v>45250</v>
      </c>
      <c r="B64" s="244" t="s">
        <v>195</v>
      </c>
      <c r="C64" s="237" t="s">
        <v>207</v>
      </c>
      <c r="D64" s="245">
        <v>0</v>
      </c>
      <c r="G64" s="124" t="s">
        <v>307</v>
      </c>
      <c r="H64" s="527"/>
      <c r="I64" s="527"/>
      <c r="J64" s="527"/>
      <c r="K64" s="527"/>
      <c r="L64" s="527"/>
      <c r="M64" s="527"/>
      <c r="N64" s="527"/>
      <c r="O64" s="527">
        <v>3.7</v>
      </c>
      <c r="P64" s="527"/>
      <c r="Q64" s="527">
        <v>2.6549999999999998</v>
      </c>
      <c r="R64" s="527">
        <v>3.68</v>
      </c>
      <c r="S64" s="527"/>
      <c r="T64" s="527">
        <v>10.035</v>
      </c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</row>
    <row r="65" spans="1:43" x14ac:dyDescent="0.25">
      <c r="A65" s="232">
        <v>45250</v>
      </c>
      <c r="B65" s="242" t="s">
        <v>194</v>
      </c>
      <c r="C65" s="240" t="s">
        <v>209</v>
      </c>
      <c r="D65" s="243">
        <v>0</v>
      </c>
      <c r="G65" s="124" t="s">
        <v>378</v>
      </c>
      <c r="H65" s="527">
        <v>24.744999999999997</v>
      </c>
      <c r="I65" s="527">
        <v>10.65</v>
      </c>
      <c r="J65" s="527">
        <v>23.849999999999998</v>
      </c>
      <c r="K65" s="527">
        <v>12.03</v>
      </c>
      <c r="L65" s="527">
        <v>10.76</v>
      </c>
      <c r="M65" s="527">
        <v>10.617999999999999</v>
      </c>
      <c r="N65" s="527">
        <v>9.879999999999999</v>
      </c>
      <c r="O65" s="527">
        <v>6.9249999999999998</v>
      </c>
      <c r="P65" s="527">
        <v>6.08</v>
      </c>
      <c r="Q65" s="527">
        <v>1.5799999999999998</v>
      </c>
      <c r="R65" s="527">
        <v>13.285</v>
      </c>
      <c r="S65" s="527">
        <v>17.07</v>
      </c>
      <c r="T65" s="527">
        <v>147.47299999999998</v>
      </c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</row>
    <row r="66" spans="1:43" x14ac:dyDescent="0.25">
      <c r="A66" s="232">
        <v>45250</v>
      </c>
      <c r="B66" s="242" t="s">
        <v>188</v>
      </c>
      <c r="C66" s="240" t="s">
        <v>201</v>
      </c>
      <c r="D66" s="243">
        <v>0</v>
      </c>
      <c r="G66" s="124" t="s">
        <v>195</v>
      </c>
      <c r="H66" s="527">
        <v>11.435</v>
      </c>
      <c r="I66" s="527">
        <v>4.29</v>
      </c>
      <c r="J66" s="527">
        <v>6.5650000000000004</v>
      </c>
      <c r="K66" s="527">
        <v>6.3699999999999992</v>
      </c>
      <c r="L66" s="527">
        <v>1.4650000000000001</v>
      </c>
      <c r="M66" s="527"/>
      <c r="N66" s="527"/>
      <c r="O66" s="527">
        <v>0.8</v>
      </c>
      <c r="P66" s="527">
        <v>0.55499999999999994</v>
      </c>
      <c r="Q66" s="527">
        <v>0</v>
      </c>
      <c r="R66" s="527">
        <v>0</v>
      </c>
      <c r="S66" s="527">
        <v>0</v>
      </c>
      <c r="T66" s="527">
        <v>31.480000000000004</v>
      </c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</row>
    <row r="67" spans="1:43" x14ac:dyDescent="0.25">
      <c r="A67" s="232">
        <v>45250</v>
      </c>
      <c r="B67" s="242" t="s">
        <v>113</v>
      </c>
      <c r="C67" s="240" t="s">
        <v>134</v>
      </c>
      <c r="D67" s="243">
        <v>6.15</v>
      </c>
      <c r="G67" s="124" t="s">
        <v>194</v>
      </c>
      <c r="H67" s="527">
        <v>5.3249999999999993</v>
      </c>
      <c r="I67" s="527">
        <v>6.3849999999999998</v>
      </c>
      <c r="J67" s="527">
        <v>16.36</v>
      </c>
      <c r="K67" s="527">
        <v>12.664999999999999</v>
      </c>
      <c r="L67" s="527">
        <v>9.25</v>
      </c>
      <c r="M67" s="527">
        <v>7.6099999999999994</v>
      </c>
      <c r="N67" s="527">
        <v>6.8449999999999998</v>
      </c>
      <c r="O67" s="527">
        <v>6.42</v>
      </c>
      <c r="P67" s="527">
        <v>8.66</v>
      </c>
      <c r="Q67" s="527">
        <v>5.5649999999999995</v>
      </c>
      <c r="R67" s="527">
        <v>0</v>
      </c>
      <c r="S67" s="527">
        <v>1.405</v>
      </c>
      <c r="T67" s="527">
        <v>86.49</v>
      </c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</row>
    <row r="68" spans="1:43" x14ac:dyDescent="0.25">
      <c r="A68" s="232">
        <v>45280</v>
      </c>
      <c r="B68" s="239" t="s">
        <v>191</v>
      </c>
      <c r="C68" s="240" t="s">
        <v>204</v>
      </c>
      <c r="D68" s="241">
        <v>0</v>
      </c>
      <c r="G68" s="124" t="s">
        <v>196</v>
      </c>
      <c r="H68" s="527">
        <v>16.510000000000002</v>
      </c>
      <c r="I68" s="527">
        <v>7.0299999999999994</v>
      </c>
      <c r="J68" s="527">
        <v>17.380000000000003</v>
      </c>
      <c r="K68" s="527">
        <v>9.2100000000000009</v>
      </c>
      <c r="L68" s="527">
        <v>7.4850000000000003</v>
      </c>
      <c r="M68" s="527">
        <v>7.97</v>
      </c>
      <c r="N68" s="527">
        <v>6.1349999999999998</v>
      </c>
      <c r="O68" s="527">
        <v>5.1899999999999995</v>
      </c>
      <c r="P68" s="527">
        <v>1.45</v>
      </c>
      <c r="Q68" s="527">
        <v>4.2649999999999997</v>
      </c>
      <c r="R68" s="527">
        <v>13.655000000000001</v>
      </c>
      <c r="S68" s="527">
        <v>13.154999999999999</v>
      </c>
      <c r="T68" s="527">
        <v>109.43500000000002</v>
      </c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</row>
    <row r="69" spans="1:43" x14ac:dyDescent="0.25">
      <c r="A69" s="232">
        <v>45280</v>
      </c>
      <c r="B69" s="239" t="s">
        <v>309</v>
      </c>
      <c r="C69" s="240" t="s">
        <v>310</v>
      </c>
      <c r="D69" s="241">
        <v>6.5049999999999999</v>
      </c>
      <c r="G69" s="124" t="s">
        <v>379</v>
      </c>
      <c r="H69" s="527">
        <v>2.75</v>
      </c>
      <c r="I69" s="527">
        <v>2</v>
      </c>
      <c r="J69" s="527">
        <v>17.559999999999999</v>
      </c>
      <c r="K69" s="527">
        <v>21.72</v>
      </c>
      <c r="L69" s="527">
        <v>16.059999999999999</v>
      </c>
      <c r="M69" s="527">
        <v>15.615</v>
      </c>
      <c r="N69" s="527">
        <v>14.1</v>
      </c>
      <c r="O69" s="527">
        <v>12.465</v>
      </c>
      <c r="P69" s="527">
        <v>10.744999999999999</v>
      </c>
      <c r="Q69" s="527">
        <v>8.76</v>
      </c>
      <c r="R69" s="527">
        <v>7.02</v>
      </c>
      <c r="S69" s="527">
        <v>6.1749999999999998</v>
      </c>
      <c r="T69" s="527">
        <v>134.97000000000003</v>
      </c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</row>
    <row r="70" spans="1:43" x14ac:dyDescent="0.25">
      <c r="A70" s="232">
        <v>45280</v>
      </c>
      <c r="B70" s="239" t="s">
        <v>378</v>
      </c>
      <c r="C70" s="240" t="s">
        <v>308</v>
      </c>
      <c r="D70" s="241">
        <v>4.33</v>
      </c>
      <c r="G70" s="124" t="s">
        <v>380</v>
      </c>
      <c r="H70" s="527">
        <v>8.92</v>
      </c>
      <c r="I70" s="527">
        <v>3.9449999999999998</v>
      </c>
      <c r="J70" s="527">
        <v>2.87</v>
      </c>
      <c r="K70" s="527"/>
      <c r="L70" s="527"/>
      <c r="M70" s="527"/>
      <c r="N70" s="527">
        <v>12.004999999999999</v>
      </c>
      <c r="O70" s="527">
        <v>12.57</v>
      </c>
      <c r="P70" s="527">
        <v>11.27</v>
      </c>
      <c r="Q70" s="527">
        <v>8.4749999999999996</v>
      </c>
      <c r="R70" s="527">
        <v>8.8049999999999997</v>
      </c>
      <c r="S70" s="527">
        <v>8.1849999999999987</v>
      </c>
      <c r="T70" s="527">
        <v>77.045000000000002</v>
      </c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</row>
    <row r="71" spans="1:43" x14ac:dyDescent="0.25">
      <c r="A71" s="232">
        <v>45280</v>
      </c>
      <c r="B71" s="239" t="s">
        <v>196</v>
      </c>
      <c r="C71" s="240" t="s">
        <v>208</v>
      </c>
      <c r="D71" s="241">
        <v>5.3250000000000002</v>
      </c>
      <c r="G71" s="124" t="s">
        <v>185</v>
      </c>
      <c r="H71" s="527">
        <v>0</v>
      </c>
      <c r="I71" s="527">
        <v>0</v>
      </c>
      <c r="J71" s="527">
        <v>8.8450000000000006</v>
      </c>
      <c r="K71" s="527">
        <v>15.39</v>
      </c>
      <c r="L71" s="527">
        <v>10.25</v>
      </c>
      <c r="M71" s="527">
        <v>10.44</v>
      </c>
      <c r="N71" s="527">
        <v>9.3650000000000002</v>
      </c>
      <c r="O71" s="527">
        <v>13.324999999999999</v>
      </c>
      <c r="P71" s="527">
        <v>11.944999999999999</v>
      </c>
      <c r="Q71" s="527">
        <v>10.095000000000001</v>
      </c>
      <c r="R71" s="527">
        <v>5.5250000000000004</v>
      </c>
      <c r="S71" s="527">
        <v>0.85499999999999998</v>
      </c>
      <c r="T71" s="527">
        <v>96.034999999999997</v>
      </c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</row>
    <row r="72" spans="1:43" x14ac:dyDescent="0.25">
      <c r="A72" s="232">
        <v>45280</v>
      </c>
      <c r="B72" s="239" t="s">
        <v>195</v>
      </c>
      <c r="C72" s="240" t="s">
        <v>207</v>
      </c>
      <c r="D72" s="241">
        <v>0</v>
      </c>
      <c r="G72" s="124" t="s">
        <v>306</v>
      </c>
      <c r="H72" s="527">
        <v>0</v>
      </c>
      <c r="I72" s="527">
        <v>0</v>
      </c>
      <c r="J72" s="527"/>
      <c r="K72" s="527">
        <v>0</v>
      </c>
      <c r="L72" s="527">
        <v>0</v>
      </c>
      <c r="M72" s="527"/>
      <c r="N72" s="527"/>
      <c r="O72" s="527">
        <v>4.5999999999999996</v>
      </c>
      <c r="P72" s="527">
        <v>3.3849999999999998</v>
      </c>
      <c r="Q72" s="527">
        <v>3.4</v>
      </c>
      <c r="R72" s="527">
        <v>1.72</v>
      </c>
      <c r="S72" s="527"/>
      <c r="T72" s="527">
        <v>13.105</v>
      </c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</row>
    <row r="73" spans="1:43" x14ac:dyDescent="0.25">
      <c r="A73" s="232">
        <v>45280</v>
      </c>
      <c r="B73" s="239" t="s">
        <v>194</v>
      </c>
      <c r="C73" s="240" t="s">
        <v>209</v>
      </c>
      <c r="D73" s="241">
        <v>0</v>
      </c>
      <c r="G73" s="124" t="s">
        <v>193</v>
      </c>
      <c r="H73" s="527">
        <v>0</v>
      </c>
      <c r="I73" s="527">
        <v>0</v>
      </c>
      <c r="J73" s="527">
        <v>0</v>
      </c>
      <c r="K73" s="527">
        <v>0</v>
      </c>
      <c r="L73" s="527">
        <v>0</v>
      </c>
      <c r="M73" s="527"/>
      <c r="N73" s="527"/>
      <c r="O73" s="527">
        <v>7</v>
      </c>
      <c r="P73" s="527">
        <v>5.86</v>
      </c>
      <c r="Q73" s="527">
        <v>7</v>
      </c>
      <c r="R73" s="527">
        <v>4.9000000000000004</v>
      </c>
      <c r="S73" s="527"/>
      <c r="T73" s="527">
        <v>24.759999999999998</v>
      </c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</row>
    <row r="74" spans="1:43" x14ac:dyDescent="0.25">
      <c r="A74" s="232">
        <v>45280</v>
      </c>
      <c r="B74" s="239" t="s">
        <v>192</v>
      </c>
      <c r="C74" s="240" t="s">
        <v>205</v>
      </c>
      <c r="D74" s="241">
        <v>0</v>
      </c>
      <c r="G74" s="124" t="s">
        <v>187</v>
      </c>
      <c r="H74" s="527">
        <v>5.88</v>
      </c>
      <c r="I74" s="527">
        <v>4.4400000000000004</v>
      </c>
      <c r="J74" s="527">
        <v>9.4649999999999999</v>
      </c>
      <c r="K74" s="527">
        <v>12.024999999999999</v>
      </c>
      <c r="L74" s="527">
        <v>3.7450000000000001</v>
      </c>
      <c r="M74" s="527"/>
      <c r="N74" s="527"/>
      <c r="O74" s="527">
        <v>3</v>
      </c>
      <c r="P74" s="527">
        <v>2.7349999999999999</v>
      </c>
      <c r="Q74" s="527">
        <v>2.2639999999999998</v>
      </c>
      <c r="R74" s="527">
        <v>0</v>
      </c>
      <c r="S74" s="527">
        <v>0</v>
      </c>
      <c r="T74" s="527">
        <v>43.554000000000002</v>
      </c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</row>
    <row r="75" spans="1:43" x14ac:dyDescent="0.25">
      <c r="A75" s="232">
        <v>45280</v>
      </c>
      <c r="B75" s="239" t="s">
        <v>190</v>
      </c>
      <c r="C75" s="240" t="s">
        <v>210</v>
      </c>
      <c r="D75" s="241">
        <v>6.2350000000000003</v>
      </c>
      <c r="G75" s="124" t="s">
        <v>304</v>
      </c>
      <c r="H75" s="527">
        <v>27.115000000000002</v>
      </c>
      <c r="I75" s="527">
        <v>12.469999999999999</v>
      </c>
      <c r="J75" s="527">
        <v>25.765000000000001</v>
      </c>
      <c r="K75" s="527">
        <v>13.015000000000001</v>
      </c>
      <c r="L75" s="527">
        <v>15.065000000000001</v>
      </c>
      <c r="M75" s="527">
        <v>14.14</v>
      </c>
      <c r="N75" s="527">
        <v>11.625</v>
      </c>
      <c r="O75" s="527">
        <v>13.715</v>
      </c>
      <c r="P75" s="527">
        <v>10.8</v>
      </c>
      <c r="Q75" s="527">
        <v>10.58</v>
      </c>
      <c r="R75" s="527">
        <v>8.34</v>
      </c>
      <c r="S75" s="527">
        <v>11.775</v>
      </c>
      <c r="T75" s="527">
        <v>174.40500000000003</v>
      </c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</row>
    <row r="76" spans="1:43" x14ac:dyDescent="0.25">
      <c r="A76" s="232">
        <v>45280</v>
      </c>
      <c r="B76" s="239" t="s">
        <v>187</v>
      </c>
      <c r="C76" s="240" t="s">
        <v>200</v>
      </c>
      <c r="D76" s="241">
        <v>0</v>
      </c>
      <c r="G76" s="124" t="s">
        <v>309</v>
      </c>
      <c r="H76" s="527">
        <v>36.78</v>
      </c>
      <c r="I76" s="527">
        <v>15.129999999999999</v>
      </c>
      <c r="J76" s="527">
        <v>27.57</v>
      </c>
      <c r="K76" s="527">
        <v>12.655000000000001</v>
      </c>
      <c r="L76" s="527">
        <v>13.89</v>
      </c>
      <c r="M76" s="527">
        <v>14.274999999999999</v>
      </c>
      <c r="N76" s="527">
        <v>11.794999999999998</v>
      </c>
      <c r="O76" s="527">
        <v>11.035</v>
      </c>
      <c r="P76" s="527">
        <v>8.0500000000000007</v>
      </c>
      <c r="Q76" s="527">
        <v>3.55</v>
      </c>
      <c r="R76" s="527">
        <v>7.22</v>
      </c>
      <c r="S76" s="527">
        <v>19.899999999999999</v>
      </c>
      <c r="T76" s="527">
        <v>181.85</v>
      </c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</row>
    <row r="77" spans="1:43" x14ac:dyDescent="0.25">
      <c r="A77" s="232">
        <v>45280</v>
      </c>
      <c r="B77" s="233" t="s">
        <v>185</v>
      </c>
      <c r="C77" s="234" t="s">
        <v>198</v>
      </c>
      <c r="D77" s="235">
        <v>0</v>
      </c>
      <c r="G77" s="124" t="s">
        <v>457</v>
      </c>
      <c r="H77" s="527">
        <v>8.3099999999999987</v>
      </c>
      <c r="I77" s="527">
        <v>3.12</v>
      </c>
      <c r="J77" s="527">
        <v>7.9</v>
      </c>
      <c r="K77" s="527"/>
      <c r="L77" s="527"/>
      <c r="M77" s="527"/>
      <c r="N77" s="527"/>
      <c r="O77" s="527"/>
      <c r="P77" s="527"/>
      <c r="Q77" s="527">
        <v>11.01</v>
      </c>
      <c r="R77" s="527">
        <v>8.3949999999999996</v>
      </c>
      <c r="S77" s="527">
        <v>8.125</v>
      </c>
      <c r="T77" s="527">
        <v>46.86</v>
      </c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</row>
    <row r="78" spans="1:43" x14ac:dyDescent="0.25">
      <c r="A78" s="232">
        <v>45280</v>
      </c>
      <c r="B78" s="233" t="s">
        <v>184</v>
      </c>
      <c r="C78" s="234" t="s">
        <v>197</v>
      </c>
      <c r="D78" s="235">
        <v>5.87</v>
      </c>
      <c r="G78" s="124" t="s">
        <v>653</v>
      </c>
      <c r="H78" s="527">
        <v>243.12499999999997</v>
      </c>
      <c r="I78" s="527">
        <v>117.86999999999999</v>
      </c>
      <c r="J78" s="527">
        <v>266.73499999999996</v>
      </c>
      <c r="K78" s="527">
        <v>179.94500000000002</v>
      </c>
      <c r="L78" s="527">
        <v>134.565</v>
      </c>
      <c r="M78" s="527">
        <v>120.73299999999998</v>
      </c>
      <c r="N78" s="527">
        <v>112.54999999999998</v>
      </c>
      <c r="O78" s="527">
        <v>147.57</v>
      </c>
      <c r="P78" s="527">
        <v>114.08999999999999</v>
      </c>
      <c r="Q78" s="527">
        <v>99.013999999999996</v>
      </c>
      <c r="R78" s="527">
        <v>109.735</v>
      </c>
      <c r="S78" s="527">
        <v>135.715</v>
      </c>
      <c r="T78" s="527">
        <v>1781.6470000000002</v>
      </c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</row>
    <row r="79" spans="1:43" x14ac:dyDescent="0.25">
      <c r="A79" s="232">
        <v>45280</v>
      </c>
      <c r="B79" s="233" t="s">
        <v>304</v>
      </c>
      <c r="C79" s="234" t="s">
        <v>305</v>
      </c>
      <c r="D79" s="235">
        <v>4.4400000000000004</v>
      </c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</row>
    <row r="80" spans="1:43" x14ac:dyDescent="0.25">
      <c r="A80" s="232">
        <v>45280</v>
      </c>
      <c r="B80" s="233" t="s">
        <v>114</v>
      </c>
      <c r="C80" s="234" t="s">
        <v>303</v>
      </c>
      <c r="D80" s="235">
        <v>2.97</v>
      </c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</row>
    <row r="81" spans="1:43" x14ac:dyDescent="0.25">
      <c r="A81" s="232">
        <v>45280</v>
      </c>
      <c r="B81" s="233" t="s">
        <v>113</v>
      </c>
      <c r="C81" s="234" t="s">
        <v>134</v>
      </c>
      <c r="D81" s="235">
        <v>5.5</v>
      </c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</row>
    <row r="82" spans="1:43" x14ac:dyDescent="0.25">
      <c r="A82" s="232">
        <v>45307</v>
      </c>
      <c r="B82" s="233" t="s">
        <v>191</v>
      </c>
      <c r="C82" s="234" t="s">
        <v>204</v>
      </c>
      <c r="D82" s="235">
        <v>5.08</v>
      </c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</row>
    <row r="83" spans="1:43" x14ac:dyDescent="0.25">
      <c r="A83" s="232">
        <v>45307</v>
      </c>
      <c r="B83" s="233" t="s">
        <v>309</v>
      </c>
      <c r="C83" s="234" t="s">
        <v>310</v>
      </c>
      <c r="D83" s="235">
        <v>8.1999999999999993</v>
      </c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</row>
    <row r="84" spans="1:43" x14ac:dyDescent="0.25">
      <c r="A84" s="232">
        <v>45307</v>
      </c>
      <c r="B84" s="233" t="s">
        <v>378</v>
      </c>
      <c r="C84" s="234" t="s">
        <v>308</v>
      </c>
      <c r="D84" s="235">
        <v>5.58</v>
      </c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</row>
    <row r="85" spans="1:43" x14ac:dyDescent="0.25">
      <c r="A85" s="232">
        <v>45307</v>
      </c>
      <c r="B85" s="233" t="s">
        <v>196</v>
      </c>
      <c r="C85" s="234" t="s">
        <v>208</v>
      </c>
      <c r="D85" s="235">
        <v>4.17</v>
      </c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</row>
    <row r="86" spans="1:43" x14ac:dyDescent="0.25">
      <c r="A86" s="232">
        <v>45307</v>
      </c>
      <c r="B86" s="233" t="s">
        <v>195</v>
      </c>
      <c r="C86" s="234" t="s">
        <v>207</v>
      </c>
      <c r="D86" s="235">
        <v>5.87</v>
      </c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</row>
    <row r="87" spans="1:43" x14ac:dyDescent="0.25">
      <c r="A87" s="232">
        <v>45307</v>
      </c>
      <c r="B87" s="233" t="s">
        <v>194</v>
      </c>
      <c r="C87" s="234" t="s">
        <v>209</v>
      </c>
      <c r="D87" s="235">
        <v>0</v>
      </c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</row>
    <row r="88" spans="1:43" x14ac:dyDescent="0.25">
      <c r="A88" s="232">
        <v>45307</v>
      </c>
      <c r="B88" s="233" t="s">
        <v>192</v>
      </c>
      <c r="C88" s="234" t="s">
        <v>205</v>
      </c>
      <c r="D88" s="235">
        <v>0</v>
      </c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</row>
    <row r="89" spans="1:43" x14ac:dyDescent="0.25">
      <c r="A89" s="232">
        <v>45307</v>
      </c>
      <c r="B89" s="233" t="s">
        <v>188</v>
      </c>
      <c r="C89" s="234" t="s">
        <v>201</v>
      </c>
      <c r="D89" s="235">
        <v>0</v>
      </c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</row>
    <row r="90" spans="1:43" x14ac:dyDescent="0.25">
      <c r="A90" s="232">
        <v>45307</v>
      </c>
      <c r="B90" s="233" t="s">
        <v>190</v>
      </c>
      <c r="C90" s="234" t="s">
        <v>210</v>
      </c>
      <c r="D90" s="235">
        <v>5.96</v>
      </c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</row>
    <row r="91" spans="1:43" x14ac:dyDescent="0.25">
      <c r="A91" s="232">
        <v>45307</v>
      </c>
      <c r="B91" s="233" t="s">
        <v>187</v>
      </c>
      <c r="C91" s="234" t="s">
        <v>200</v>
      </c>
      <c r="D91" s="235">
        <v>0</v>
      </c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</row>
    <row r="92" spans="1:43" x14ac:dyDescent="0.25">
      <c r="A92" s="232">
        <v>45307</v>
      </c>
      <c r="B92" s="233" t="s">
        <v>185</v>
      </c>
      <c r="C92" s="234" t="s">
        <v>198</v>
      </c>
      <c r="D92" s="235">
        <v>0</v>
      </c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</row>
    <row r="93" spans="1:43" x14ac:dyDescent="0.25">
      <c r="A93" s="232">
        <v>45307</v>
      </c>
      <c r="B93" s="233" t="s">
        <v>184</v>
      </c>
      <c r="C93" s="234" t="s">
        <v>197</v>
      </c>
      <c r="D93" s="235">
        <v>7.44</v>
      </c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</row>
    <row r="94" spans="1:43" x14ac:dyDescent="0.25">
      <c r="A94" s="232">
        <v>45307</v>
      </c>
      <c r="B94" s="233" t="s">
        <v>193</v>
      </c>
      <c r="C94" s="234" t="s">
        <v>206</v>
      </c>
      <c r="D94" s="235">
        <v>0</v>
      </c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</row>
    <row r="95" spans="1:43" x14ac:dyDescent="0.25">
      <c r="A95" s="232">
        <v>45307</v>
      </c>
      <c r="B95" s="233" t="s">
        <v>304</v>
      </c>
      <c r="C95" s="234" t="s">
        <v>305</v>
      </c>
      <c r="D95" s="235">
        <v>6.37</v>
      </c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</row>
    <row r="96" spans="1:43" x14ac:dyDescent="0.25">
      <c r="A96" s="232">
        <v>45307</v>
      </c>
      <c r="B96" s="233" t="s">
        <v>306</v>
      </c>
      <c r="C96" s="234" t="s">
        <v>202</v>
      </c>
      <c r="D96" s="235">
        <v>0</v>
      </c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</row>
    <row r="97" spans="1:43" x14ac:dyDescent="0.25">
      <c r="A97" s="232">
        <v>45307</v>
      </c>
      <c r="B97" s="233" t="s">
        <v>114</v>
      </c>
      <c r="C97" s="234" t="s">
        <v>303</v>
      </c>
      <c r="D97" s="235">
        <v>4.04</v>
      </c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</row>
    <row r="98" spans="1:43" ht="15.75" customHeight="1" x14ac:dyDescent="0.25">
      <c r="A98" s="232">
        <v>45307</v>
      </c>
      <c r="B98" s="233" t="s">
        <v>113</v>
      </c>
      <c r="C98" s="234" t="s">
        <v>134</v>
      </c>
      <c r="D98" s="235">
        <v>5.35</v>
      </c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</row>
    <row r="99" spans="1:43" ht="15.75" customHeight="1" x14ac:dyDescent="0.25">
      <c r="A99" s="232">
        <v>45322</v>
      </c>
      <c r="B99" s="233" t="s">
        <v>191</v>
      </c>
      <c r="C99" s="234" t="s">
        <v>204</v>
      </c>
      <c r="D99" s="235">
        <v>5.75</v>
      </c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</row>
    <row r="100" spans="1:43" ht="15.75" customHeight="1" x14ac:dyDescent="0.25">
      <c r="A100" s="232">
        <v>45322</v>
      </c>
      <c r="B100" s="233" t="s">
        <v>309</v>
      </c>
      <c r="C100" s="234" t="s">
        <v>310</v>
      </c>
      <c r="D100" s="235">
        <v>6.36</v>
      </c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</row>
    <row r="101" spans="1:43" ht="15.75" customHeight="1" x14ac:dyDescent="0.25">
      <c r="A101" s="232">
        <v>45322</v>
      </c>
      <c r="B101" s="233" t="s">
        <v>378</v>
      </c>
      <c r="C101" s="234" t="s">
        <v>308</v>
      </c>
      <c r="D101" s="235">
        <v>4.8550000000000004</v>
      </c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1:43" ht="15.75" customHeight="1" x14ac:dyDescent="0.25">
      <c r="A102" s="232">
        <v>45322</v>
      </c>
      <c r="B102" s="233" t="s">
        <v>196</v>
      </c>
      <c r="C102" s="234" t="s">
        <v>208</v>
      </c>
      <c r="D102" s="235">
        <v>4.2</v>
      </c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1:43" ht="15.75" customHeight="1" x14ac:dyDescent="0.25">
      <c r="A103" s="232">
        <v>45322</v>
      </c>
      <c r="B103" s="233" t="s">
        <v>195</v>
      </c>
      <c r="C103" s="234" t="s">
        <v>207</v>
      </c>
      <c r="D103" s="235">
        <v>5.5650000000000004</v>
      </c>
      <c r="G103"/>
      <c r="H103"/>
    </row>
    <row r="104" spans="1:43" ht="15.75" customHeight="1" x14ac:dyDescent="0.25">
      <c r="A104" s="232">
        <v>45322</v>
      </c>
      <c r="B104" s="233" t="s">
        <v>194</v>
      </c>
      <c r="C104" s="234" t="s">
        <v>209</v>
      </c>
      <c r="D104" s="235">
        <v>0</v>
      </c>
      <c r="G104"/>
      <c r="H104"/>
    </row>
    <row r="105" spans="1:43" ht="15.75" customHeight="1" x14ac:dyDescent="0.25">
      <c r="A105" s="232">
        <v>45322</v>
      </c>
      <c r="B105" s="233" t="s">
        <v>192</v>
      </c>
      <c r="C105" s="234" t="s">
        <v>205</v>
      </c>
      <c r="D105" s="235">
        <v>0</v>
      </c>
      <c r="G105"/>
      <c r="H105"/>
    </row>
    <row r="106" spans="1:43" ht="15.75" customHeight="1" x14ac:dyDescent="0.25">
      <c r="A106" s="232">
        <v>45322</v>
      </c>
      <c r="B106" s="233" t="s">
        <v>188</v>
      </c>
      <c r="C106" s="234" t="s">
        <v>201</v>
      </c>
      <c r="D106" s="235">
        <v>0</v>
      </c>
      <c r="G106"/>
      <c r="H106"/>
    </row>
    <row r="107" spans="1:43" ht="15.75" customHeight="1" x14ac:dyDescent="0.25">
      <c r="A107" s="232">
        <v>45322</v>
      </c>
      <c r="B107" s="233" t="s">
        <v>190</v>
      </c>
      <c r="C107" s="234" t="s">
        <v>210</v>
      </c>
      <c r="D107" s="235">
        <v>5.915</v>
      </c>
      <c r="G107"/>
      <c r="H107"/>
    </row>
    <row r="108" spans="1:43" ht="15.75" customHeight="1" x14ac:dyDescent="0.25">
      <c r="A108" s="232">
        <v>45322</v>
      </c>
      <c r="B108" s="233" t="s">
        <v>187</v>
      </c>
      <c r="C108" s="234" t="s">
        <v>200</v>
      </c>
      <c r="D108" s="235">
        <v>5.88</v>
      </c>
      <c r="G108"/>
      <c r="H108"/>
    </row>
    <row r="109" spans="1:43" ht="15.75" customHeight="1" x14ac:dyDescent="0.25">
      <c r="A109" s="232">
        <v>45322</v>
      </c>
      <c r="B109" s="233" t="s">
        <v>185</v>
      </c>
      <c r="C109" s="234" t="s">
        <v>198</v>
      </c>
      <c r="D109" s="235">
        <v>0</v>
      </c>
      <c r="G109"/>
      <c r="H109"/>
    </row>
    <row r="110" spans="1:43" ht="15.75" customHeight="1" x14ac:dyDescent="0.25">
      <c r="A110" s="232">
        <v>45322</v>
      </c>
      <c r="B110" s="233" t="s">
        <v>184</v>
      </c>
      <c r="C110" s="234" t="s">
        <v>197</v>
      </c>
      <c r="D110" s="235">
        <v>5.76</v>
      </c>
      <c r="G110"/>
      <c r="H110"/>
    </row>
    <row r="111" spans="1:43" ht="15.75" customHeight="1" x14ac:dyDescent="0.25">
      <c r="A111" s="232">
        <v>45322</v>
      </c>
      <c r="B111" s="233" t="s">
        <v>193</v>
      </c>
      <c r="C111" s="234" t="s">
        <v>206</v>
      </c>
      <c r="D111" s="235">
        <v>0</v>
      </c>
      <c r="G111"/>
      <c r="H111"/>
    </row>
    <row r="112" spans="1:43" ht="15.75" customHeight="1" x14ac:dyDescent="0.25">
      <c r="A112" s="232">
        <v>45322</v>
      </c>
      <c r="B112" s="233" t="s">
        <v>304</v>
      </c>
      <c r="C112" s="234" t="s">
        <v>305</v>
      </c>
      <c r="D112" s="235">
        <v>5.2</v>
      </c>
      <c r="G112"/>
      <c r="H112"/>
    </row>
    <row r="113" spans="1:8" ht="15.75" customHeight="1" x14ac:dyDescent="0.25">
      <c r="A113" s="232">
        <v>45322</v>
      </c>
      <c r="B113" s="233" t="s">
        <v>306</v>
      </c>
      <c r="C113" s="234" t="s">
        <v>202</v>
      </c>
      <c r="D113" s="235">
        <v>0</v>
      </c>
      <c r="G113"/>
      <c r="H113"/>
    </row>
    <row r="114" spans="1:8" ht="15.75" customHeight="1" x14ac:dyDescent="0.25">
      <c r="A114" s="232">
        <v>45322</v>
      </c>
      <c r="B114" s="233" t="s">
        <v>114</v>
      </c>
      <c r="C114" s="234" t="s">
        <v>303</v>
      </c>
      <c r="D114" s="235">
        <v>1.5450000000000002</v>
      </c>
      <c r="G114"/>
      <c r="H114"/>
    </row>
    <row r="115" spans="1:8" ht="15.75" customHeight="1" x14ac:dyDescent="0.25">
      <c r="A115" s="232">
        <v>45322</v>
      </c>
      <c r="B115" s="233" t="s">
        <v>113</v>
      </c>
      <c r="C115" s="234" t="s">
        <v>134</v>
      </c>
      <c r="D115" s="235">
        <v>4.9249999999999998</v>
      </c>
      <c r="G115"/>
      <c r="H115"/>
    </row>
    <row r="116" spans="1:8" ht="15.75" customHeight="1" x14ac:dyDescent="0.25">
      <c r="A116" s="232">
        <v>45338</v>
      </c>
      <c r="B116" s="233" t="s">
        <v>191</v>
      </c>
      <c r="C116" s="234" t="s">
        <v>204</v>
      </c>
      <c r="D116" s="235">
        <v>5.3250000000000002</v>
      </c>
      <c r="G116"/>
      <c r="H116"/>
    </row>
    <row r="117" spans="1:8" ht="15.75" customHeight="1" x14ac:dyDescent="0.25">
      <c r="A117" s="232">
        <v>45338</v>
      </c>
      <c r="B117" s="233" t="s">
        <v>309</v>
      </c>
      <c r="C117" s="234" t="s">
        <v>310</v>
      </c>
      <c r="D117" s="235">
        <v>5.7549999999999999</v>
      </c>
      <c r="G117"/>
      <c r="H117"/>
    </row>
    <row r="118" spans="1:8" ht="15.75" customHeight="1" x14ac:dyDescent="0.25">
      <c r="A118" s="232">
        <v>45338</v>
      </c>
      <c r="B118" s="233" t="s">
        <v>378</v>
      </c>
      <c r="C118" s="234" t="s">
        <v>308</v>
      </c>
      <c r="D118" s="235">
        <v>4.6050000000000004</v>
      </c>
      <c r="G118"/>
      <c r="H118"/>
    </row>
    <row r="119" spans="1:8" ht="15.75" customHeight="1" x14ac:dyDescent="0.25">
      <c r="A119" s="232">
        <v>45338</v>
      </c>
      <c r="B119" s="233" t="s">
        <v>196</v>
      </c>
      <c r="C119" s="234" t="s">
        <v>208</v>
      </c>
      <c r="D119" s="235">
        <v>4.42</v>
      </c>
      <c r="G119"/>
      <c r="H119"/>
    </row>
    <row r="120" spans="1:8" ht="15.75" customHeight="1" x14ac:dyDescent="0.25">
      <c r="A120" s="232">
        <v>45338</v>
      </c>
      <c r="B120" s="233" t="s">
        <v>195</v>
      </c>
      <c r="C120" s="234" t="s">
        <v>207</v>
      </c>
      <c r="D120" s="235">
        <v>4.29</v>
      </c>
      <c r="G120"/>
      <c r="H120"/>
    </row>
    <row r="121" spans="1:8" ht="15.75" customHeight="1" x14ac:dyDescent="0.25">
      <c r="A121" s="232">
        <v>45338</v>
      </c>
      <c r="B121" s="233" t="s">
        <v>194</v>
      </c>
      <c r="C121" s="234" t="s">
        <v>209</v>
      </c>
      <c r="D121" s="235">
        <v>4.4050000000000002</v>
      </c>
      <c r="G121"/>
      <c r="H121"/>
    </row>
    <row r="122" spans="1:8" ht="15.75" customHeight="1" x14ac:dyDescent="0.25">
      <c r="A122" s="232">
        <v>45338</v>
      </c>
      <c r="B122" s="233" t="s">
        <v>192</v>
      </c>
      <c r="C122" s="234" t="s">
        <v>205</v>
      </c>
      <c r="D122" s="235">
        <v>2.56</v>
      </c>
      <c r="G122"/>
      <c r="H122"/>
    </row>
    <row r="123" spans="1:8" ht="15.75" customHeight="1" x14ac:dyDescent="0.25">
      <c r="A123" s="232">
        <v>45338</v>
      </c>
      <c r="B123" s="233" t="s">
        <v>188</v>
      </c>
      <c r="C123" s="234" t="s">
        <v>201</v>
      </c>
      <c r="D123" s="235">
        <v>0</v>
      </c>
      <c r="G123"/>
      <c r="H123"/>
    </row>
    <row r="124" spans="1:8" ht="15.75" customHeight="1" x14ac:dyDescent="0.25">
      <c r="A124" s="232">
        <v>45338</v>
      </c>
      <c r="B124" s="233" t="s">
        <v>190</v>
      </c>
      <c r="C124" s="234" t="s">
        <v>210</v>
      </c>
      <c r="D124" s="235">
        <v>5.5350000000000001</v>
      </c>
      <c r="G124"/>
      <c r="H124"/>
    </row>
    <row r="125" spans="1:8" ht="15.75" customHeight="1" x14ac:dyDescent="0.25">
      <c r="A125" s="232">
        <v>45338</v>
      </c>
      <c r="B125" s="233" t="s">
        <v>187</v>
      </c>
      <c r="C125" s="234" t="s">
        <v>200</v>
      </c>
      <c r="D125" s="235">
        <v>4.4400000000000004</v>
      </c>
      <c r="G125"/>
      <c r="H125"/>
    </row>
    <row r="126" spans="1:8" ht="15.75" customHeight="1" x14ac:dyDescent="0.25">
      <c r="A126" s="232">
        <v>45338</v>
      </c>
      <c r="B126" s="233" t="s">
        <v>185</v>
      </c>
      <c r="C126" s="234" t="s">
        <v>198</v>
      </c>
      <c r="D126" s="235">
        <v>0</v>
      </c>
      <c r="G126"/>
      <c r="H126"/>
    </row>
    <row r="127" spans="1:8" ht="15.75" customHeight="1" x14ac:dyDescent="0.25">
      <c r="A127" s="232">
        <v>45338</v>
      </c>
      <c r="B127" s="233" t="s">
        <v>184</v>
      </c>
      <c r="C127" s="234" t="s">
        <v>197</v>
      </c>
      <c r="D127" s="235">
        <v>6.7850000000000001</v>
      </c>
      <c r="G127"/>
      <c r="H127"/>
    </row>
    <row r="128" spans="1:8" ht="15.75" customHeight="1" x14ac:dyDescent="0.25">
      <c r="A128" s="232">
        <v>45338</v>
      </c>
      <c r="B128" s="233" t="s">
        <v>193</v>
      </c>
      <c r="C128" s="234" t="s">
        <v>206</v>
      </c>
      <c r="D128" s="235">
        <v>0</v>
      </c>
      <c r="G128"/>
      <c r="H128"/>
    </row>
    <row r="129" spans="1:8" ht="15.75" customHeight="1" x14ac:dyDescent="0.25">
      <c r="A129" s="232">
        <v>45338</v>
      </c>
      <c r="B129" s="233" t="s">
        <v>304</v>
      </c>
      <c r="C129" s="234" t="s">
        <v>305</v>
      </c>
      <c r="D129" s="235">
        <v>6.31</v>
      </c>
      <c r="G129"/>
      <c r="H129"/>
    </row>
    <row r="130" spans="1:8" ht="15.75" customHeight="1" x14ac:dyDescent="0.25">
      <c r="A130" s="232">
        <v>45338</v>
      </c>
      <c r="B130" s="233" t="s">
        <v>306</v>
      </c>
      <c r="C130" s="234" t="s">
        <v>202</v>
      </c>
      <c r="D130" s="235">
        <v>0</v>
      </c>
      <c r="G130"/>
      <c r="H130"/>
    </row>
    <row r="131" spans="1:8" ht="15.75" customHeight="1" x14ac:dyDescent="0.25">
      <c r="A131" s="232">
        <v>45338</v>
      </c>
      <c r="B131" s="233" t="s">
        <v>114</v>
      </c>
      <c r="C131" s="234" t="s">
        <v>303</v>
      </c>
      <c r="D131" s="235">
        <v>3.4649999999999999</v>
      </c>
      <c r="G131"/>
      <c r="H131"/>
    </row>
    <row r="132" spans="1:8" ht="15.75" customHeight="1" x14ac:dyDescent="0.25">
      <c r="A132" s="232">
        <v>45338</v>
      </c>
      <c r="B132" s="233" t="s">
        <v>113</v>
      </c>
      <c r="C132" s="234" t="s">
        <v>134</v>
      </c>
      <c r="D132" s="235">
        <v>5.0049999999999999</v>
      </c>
      <c r="G132"/>
      <c r="H132"/>
    </row>
    <row r="133" spans="1:8" ht="15.75" customHeight="1" x14ac:dyDescent="0.25">
      <c r="A133" s="232">
        <v>45352</v>
      </c>
      <c r="B133" s="233" t="s">
        <v>190</v>
      </c>
      <c r="C133" s="234" t="s">
        <v>203</v>
      </c>
      <c r="D133" s="235">
        <v>4.5399999999999991</v>
      </c>
      <c r="G133"/>
      <c r="H133"/>
    </row>
    <row r="134" spans="1:8" ht="15.75" customHeight="1" x14ac:dyDescent="0.25">
      <c r="A134" s="232">
        <v>45352</v>
      </c>
      <c r="B134" s="233" t="s">
        <v>191</v>
      </c>
      <c r="C134" s="234" t="s">
        <v>204</v>
      </c>
      <c r="D134" s="235">
        <v>4.9499999999999993</v>
      </c>
      <c r="G134"/>
      <c r="H134"/>
    </row>
    <row r="135" spans="1:8" ht="15.75" customHeight="1" x14ac:dyDescent="0.25">
      <c r="A135" s="232">
        <v>45352</v>
      </c>
      <c r="B135" s="233" t="s">
        <v>192</v>
      </c>
      <c r="C135" s="234" t="s">
        <v>205</v>
      </c>
      <c r="D135" s="235">
        <v>2.8849999999999998</v>
      </c>
      <c r="G135"/>
      <c r="H135"/>
    </row>
    <row r="136" spans="1:8" ht="15.75" customHeight="1" x14ac:dyDescent="0.25">
      <c r="A136" s="232">
        <v>45352</v>
      </c>
      <c r="B136" s="233" t="s">
        <v>184</v>
      </c>
      <c r="C136" s="234" t="s">
        <v>197</v>
      </c>
      <c r="D136" s="235">
        <v>4.99</v>
      </c>
      <c r="G136"/>
      <c r="H136"/>
    </row>
    <row r="137" spans="1:8" ht="15.75" customHeight="1" x14ac:dyDescent="0.25">
      <c r="A137" s="232">
        <v>45352</v>
      </c>
      <c r="B137" s="233" t="s">
        <v>187</v>
      </c>
      <c r="C137" s="234" t="s">
        <v>200</v>
      </c>
      <c r="D137" s="235">
        <v>4.5950000000000006</v>
      </c>
      <c r="G137"/>
      <c r="H137"/>
    </row>
    <row r="138" spans="1:8" ht="15.75" customHeight="1" x14ac:dyDescent="0.25">
      <c r="A138" s="232">
        <v>45352</v>
      </c>
      <c r="B138" s="233" t="s">
        <v>195</v>
      </c>
      <c r="C138" s="234" t="s">
        <v>207</v>
      </c>
      <c r="D138" s="235">
        <v>3.4650000000000003</v>
      </c>
      <c r="G138"/>
      <c r="H138"/>
    </row>
    <row r="139" spans="1:8" ht="15.75" customHeight="1" x14ac:dyDescent="0.25">
      <c r="A139" s="232">
        <v>45352</v>
      </c>
      <c r="B139" s="233" t="s">
        <v>194</v>
      </c>
      <c r="C139" s="234" t="s">
        <v>209</v>
      </c>
      <c r="D139" s="235">
        <v>5.4849999999999994</v>
      </c>
      <c r="G139"/>
      <c r="H139"/>
    </row>
    <row r="140" spans="1:8" ht="15.75" customHeight="1" x14ac:dyDescent="0.25">
      <c r="A140" s="232">
        <v>45352</v>
      </c>
      <c r="B140" s="233" t="s">
        <v>196</v>
      </c>
      <c r="C140" s="234" t="s">
        <v>208</v>
      </c>
      <c r="D140" s="235">
        <v>4.0050000000000008</v>
      </c>
      <c r="G140"/>
      <c r="H140"/>
    </row>
    <row r="141" spans="1:8" ht="15.75" customHeight="1" x14ac:dyDescent="0.25">
      <c r="A141" s="232">
        <v>45352</v>
      </c>
      <c r="B141" s="233" t="s">
        <v>304</v>
      </c>
      <c r="C141" s="234" t="s">
        <v>118</v>
      </c>
      <c r="D141" s="235">
        <v>5.6449999999999996</v>
      </c>
      <c r="G141"/>
      <c r="H141"/>
    </row>
    <row r="142" spans="1:8" ht="15.75" customHeight="1" x14ac:dyDescent="0.25">
      <c r="A142" s="232">
        <v>45352</v>
      </c>
      <c r="B142" s="233" t="s">
        <v>309</v>
      </c>
      <c r="C142" s="234" t="s">
        <v>4</v>
      </c>
      <c r="D142" s="235">
        <v>4.7200000000000006</v>
      </c>
      <c r="G142"/>
      <c r="H142"/>
    </row>
    <row r="143" spans="1:8" ht="15.75" customHeight="1" x14ac:dyDescent="0.25">
      <c r="A143" s="232">
        <v>45352</v>
      </c>
      <c r="B143" s="233" t="s">
        <v>378</v>
      </c>
      <c r="C143" s="234" t="s">
        <v>117</v>
      </c>
      <c r="D143" s="235">
        <v>4.43</v>
      </c>
      <c r="G143"/>
      <c r="H143"/>
    </row>
    <row r="144" spans="1:8" ht="15.75" customHeight="1" x14ac:dyDescent="0.25">
      <c r="A144" s="232">
        <v>45352</v>
      </c>
      <c r="B144" s="233" t="s">
        <v>113</v>
      </c>
      <c r="C144" s="234" t="s">
        <v>134</v>
      </c>
      <c r="D144" s="235">
        <v>4.2200000000000006</v>
      </c>
      <c r="G144"/>
      <c r="H144"/>
    </row>
    <row r="145" spans="1:8" ht="15.75" customHeight="1" x14ac:dyDescent="0.25">
      <c r="A145" s="232">
        <v>45352</v>
      </c>
      <c r="B145" s="233" t="s">
        <v>114</v>
      </c>
      <c r="C145" s="234" t="s">
        <v>133</v>
      </c>
      <c r="D145" s="235">
        <v>2.64</v>
      </c>
      <c r="G145"/>
      <c r="H145"/>
    </row>
    <row r="146" spans="1:8" ht="15.75" customHeight="1" x14ac:dyDescent="0.25">
      <c r="A146" s="232">
        <v>45352</v>
      </c>
      <c r="B146" s="233" t="s">
        <v>379</v>
      </c>
      <c r="C146" s="234" t="s">
        <v>127</v>
      </c>
      <c r="D146" s="235">
        <v>4.24</v>
      </c>
      <c r="G146"/>
      <c r="H146"/>
    </row>
    <row r="147" spans="1:8" ht="15.75" customHeight="1" x14ac:dyDescent="0.25">
      <c r="A147" s="232">
        <v>45366</v>
      </c>
      <c r="B147" s="233" t="s">
        <v>191</v>
      </c>
      <c r="C147" s="234" t="s">
        <v>204</v>
      </c>
      <c r="D147" s="235">
        <v>4.01</v>
      </c>
      <c r="G147"/>
      <c r="H147"/>
    </row>
    <row r="148" spans="1:8" ht="15.75" customHeight="1" x14ac:dyDescent="0.25">
      <c r="A148" s="232">
        <v>45366</v>
      </c>
      <c r="B148" s="233" t="s">
        <v>309</v>
      </c>
      <c r="C148" s="234" t="s">
        <v>310</v>
      </c>
      <c r="D148" s="235">
        <v>4.09</v>
      </c>
      <c r="G148"/>
      <c r="H148"/>
    </row>
    <row r="149" spans="1:8" ht="15.75" customHeight="1" x14ac:dyDescent="0.25">
      <c r="A149" s="232">
        <v>45366</v>
      </c>
      <c r="B149" s="233" t="s">
        <v>378</v>
      </c>
      <c r="C149" s="234" t="s">
        <v>308</v>
      </c>
      <c r="D149" s="235">
        <v>4.0599999999999996</v>
      </c>
      <c r="G149"/>
      <c r="H149"/>
    </row>
    <row r="150" spans="1:8" ht="15.75" customHeight="1" x14ac:dyDescent="0.25">
      <c r="A150" s="232">
        <v>45366</v>
      </c>
      <c r="B150" s="233" t="s">
        <v>196</v>
      </c>
      <c r="C150" s="234" t="s">
        <v>208</v>
      </c>
      <c r="D150" s="235">
        <v>3.8650000000000002</v>
      </c>
      <c r="G150"/>
      <c r="H150"/>
    </row>
    <row r="151" spans="1:8" ht="15.75" customHeight="1" x14ac:dyDescent="0.25">
      <c r="A151" s="232">
        <v>45366</v>
      </c>
      <c r="B151" s="233" t="s">
        <v>195</v>
      </c>
      <c r="C151" s="234" t="s">
        <v>207</v>
      </c>
      <c r="D151" s="235">
        <v>3.1</v>
      </c>
      <c r="G151"/>
      <c r="H151"/>
    </row>
    <row r="152" spans="1:8" ht="15.75" customHeight="1" x14ac:dyDescent="0.25">
      <c r="A152" s="232">
        <v>45366</v>
      </c>
      <c r="B152" s="233" t="s">
        <v>194</v>
      </c>
      <c r="C152" s="234" t="s">
        <v>209</v>
      </c>
      <c r="D152" s="235">
        <v>5.52</v>
      </c>
      <c r="G152"/>
      <c r="H152"/>
    </row>
    <row r="153" spans="1:8" ht="15.75" customHeight="1" x14ac:dyDescent="0.25">
      <c r="A153" s="232">
        <v>45366</v>
      </c>
      <c r="B153" s="233" t="s">
        <v>192</v>
      </c>
      <c r="C153" s="234" t="s">
        <v>205</v>
      </c>
      <c r="D153" s="235">
        <v>2.78</v>
      </c>
      <c r="G153"/>
      <c r="H153"/>
    </row>
    <row r="154" spans="1:8" ht="15.75" customHeight="1" x14ac:dyDescent="0.25">
      <c r="A154" s="232">
        <v>45366</v>
      </c>
      <c r="B154" s="233" t="s">
        <v>190</v>
      </c>
      <c r="C154" s="234" t="s">
        <v>210</v>
      </c>
      <c r="D154" s="235">
        <v>4.7249999999999996</v>
      </c>
      <c r="G154"/>
      <c r="H154"/>
    </row>
    <row r="155" spans="1:8" ht="15.75" customHeight="1" x14ac:dyDescent="0.25">
      <c r="A155" s="232">
        <v>45366</v>
      </c>
      <c r="B155" s="233" t="s">
        <v>187</v>
      </c>
      <c r="C155" s="234" t="s">
        <v>200</v>
      </c>
      <c r="D155" s="235">
        <v>4.87</v>
      </c>
      <c r="G155"/>
      <c r="H155"/>
    </row>
    <row r="156" spans="1:8" ht="15.75" customHeight="1" x14ac:dyDescent="0.25">
      <c r="A156" s="232">
        <v>45366</v>
      </c>
      <c r="B156" s="233" t="s">
        <v>185</v>
      </c>
      <c r="C156" s="234" t="s">
        <v>198</v>
      </c>
      <c r="D156" s="235">
        <v>3.645</v>
      </c>
      <c r="G156"/>
      <c r="H156"/>
    </row>
    <row r="157" spans="1:8" ht="15.75" customHeight="1" x14ac:dyDescent="0.25">
      <c r="A157" s="232">
        <v>45366</v>
      </c>
      <c r="B157" s="233" t="s">
        <v>184</v>
      </c>
      <c r="C157" s="234" t="s">
        <v>197</v>
      </c>
      <c r="D157" s="235">
        <v>5.0999999999999996</v>
      </c>
      <c r="G157"/>
      <c r="H157"/>
    </row>
    <row r="158" spans="1:8" ht="15.75" customHeight="1" x14ac:dyDescent="0.25">
      <c r="A158" s="232">
        <v>45366</v>
      </c>
      <c r="B158" s="233" t="s">
        <v>193</v>
      </c>
      <c r="C158" s="234" t="s">
        <v>206</v>
      </c>
      <c r="D158" s="235">
        <v>0</v>
      </c>
      <c r="G158"/>
      <c r="H158"/>
    </row>
    <row r="159" spans="1:8" ht="15.75" customHeight="1" x14ac:dyDescent="0.25">
      <c r="A159" s="232">
        <v>45366</v>
      </c>
      <c r="B159" s="233" t="s">
        <v>304</v>
      </c>
      <c r="C159" s="234" t="s">
        <v>305</v>
      </c>
      <c r="D159" s="235">
        <v>4.26</v>
      </c>
      <c r="G159"/>
      <c r="H159"/>
    </row>
    <row r="160" spans="1:8" ht="15.75" customHeight="1" x14ac:dyDescent="0.25">
      <c r="A160" s="232">
        <v>45366</v>
      </c>
      <c r="B160" s="233" t="s">
        <v>114</v>
      </c>
      <c r="C160" s="234" t="s">
        <v>303</v>
      </c>
      <c r="D160" s="235">
        <v>2.2999999999999998</v>
      </c>
      <c r="G160"/>
      <c r="H160"/>
    </row>
    <row r="161" spans="1:8" ht="15.75" customHeight="1" x14ac:dyDescent="0.25">
      <c r="A161" s="232">
        <v>45366</v>
      </c>
      <c r="B161" s="233" t="s">
        <v>113</v>
      </c>
      <c r="C161" s="234" t="s">
        <v>134</v>
      </c>
      <c r="D161" s="235">
        <v>4.07</v>
      </c>
      <c r="G161"/>
      <c r="H161"/>
    </row>
    <row r="162" spans="1:8" ht="15.75" customHeight="1" x14ac:dyDescent="0.25">
      <c r="A162" s="232">
        <v>45366</v>
      </c>
      <c r="B162" s="233" t="s">
        <v>379</v>
      </c>
      <c r="C162" s="234" t="s">
        <v>127</v>
      </c>
      <c r="D162" s="235">
        <v>5.5</v>
      </c>
      <c r="G162"/>
      <c r="H162"/>
    </row>
    <row r="163" spans="1:8" ht="15.75" customHeight="1" x14ac:dyDescent="0.25">
      <c r="A163" s="232">
        <v>45383</v>
      </c>
      <c r="B163" s="233" t="s">
        <v>191</v>
      </c>
      <c r="C163" s="234" t="s">
        <v>204</v>
      </c>
      <c r="D163" s="235">
        <v>4.2549999999999999</v>
      </c>
      <c r="G163"/>
      <c r="H163"/>
    </row>
    <row r="164" spans="1:8" x14ac:dyDescent="0.25">
      <c r="A164" s="232">
        <v>45383</v>
      </c>
      <c r="B164" s="233" t="s">
        <v>309</v>
      </c>
      <c r="C164" s="234" t="s">
        <v>310</v>
      </c>
      <c r="D164" s="235">
        <v>3.0350000000000001</v>
      </c>
      <c r="G164"/>
      <c r="H164"/>
    </row>
    <row r="165" spans="1:8" x14ac:dyDescent="0.25">
      <c r="A165" s="232">
        <v>45383</v>
      </c>
      <c r="B165" s="233" t="s">
        <v>378</v>
      </c>
      <c r="C165" s="234" t="s">
        <v>308</v>
      </c>
      <c r="D165" s="235">
        <v>3.56</v>
      </c>
      <c r="G165"/>
      <c r="H165"/>
    </row>
    <row r="166" spans="1:8" x14ac:dyDescent="0.25">
      <c r="A166" s="232">
        <v>45383</v>
      </c>
      <c r="B166" s="233" t="s">
        <v>196</v>
      </c>
      <c r="C166" s="234" t="s">
        <v>208</v>
      </c>
      <c r="D166" s="235">
        <v>2.27</v>
      </c>
      <c r="G166"/>
      <c r="H166"/>
    </row>
    <row r="167" spans="1:8" x14ac:dyDescent="0.25">
      <c r="A167" s="232">
        <v>45383</v>
      </c>
      <c r="B167" s="233" t="s">
        <v>195</v>
      </c>
      <c r="C167" s="234" t="s">
        <v>207</v>
      </c>
      <c r="D167" s="235">
        <v>2.5499999999999998</v>
      </c>
      <c r="G167"/>
      <c r="H167"/>
    </row>
    <row r="168" spans="1:8" x14ac:dyDescent="0.25">
      <c r="A168" s="232">
        <v>45383</v>
      </c>
      <c r="B168" s="233" t="s">
        <v>194</v>
      </c>
      <c r="C168" s="234" t="s">
        <v>209</v>
      </c>
      <c r="D168" s="235">
        <v>4.1900000000000004</v>
      </c>
      <c r="G168"/>
      <c r="H168"/>
    </row>
    <row r="169" spans="1:8" x14ac:dyDescent="0.25">
      <c r="A169" s="232">
        <v>45383</v>
      </c>
      <c r="B169" s="233" t="s">
        <v>192</v>
      </c>
      <c r="C169" s="234" t="s">
        <v>205</v>
      </c>
      <c r="D169" s="235">
        <v>3.085</v>
      </c>
      <c r="G169"/>
      <c r="H169"/>
    </row>
    <row r="170" spans="1:8" x14ac:dyDescent="0.25">
      <c r="A170" s="232">
        <v>45383</v>
      </c>
      <c r="B170" s="233" t="s">
        <v>190</v>
      </c>
      <c r="C170" s="234" t="s">
        <v>210</v>
      </c>
      <c r="D170" s="235">
        <v>3.9950000000000001</v>
      </c>
      <c r="G170"/>
      <c r="H170"/>
    </row>
    <row r="171" spans="1:8" x14ac:dyDescent="0.25">
      <c r="A171" s="232">
        <v>45383</v>
      </c>
      <c r="B171" s="233" t="s">
        <v>187</v>
      </c>
      <c r="C171" s="234" t="s">
        <v>200</v>
      </c>
      <c r="D171" s="235">
        <v>4.3099999999999996</v>
      </c>
      <c r="G171"/>
      <c r="H171"/>
    </row>
    <row r="172" spans="1:8" x14ac:dyDescent="0.25">
      <c r="A172" s="232">
        <v>45383</v>
      </c>
      <c r="B172" s="233" t="s">
        <v>185</v>
      </c>
      <c r="C172" s="234" t="s">
        <v>198</v>
      </c>
      <c r="D172" s="235">
        <v>5.4450000000000003</v>
      </c>
      <c r="G172"/>
      <c r="H172"/>
    </row>
    <row r="173" spans="1:8" x14ac:dyDescent="0.25">
      <c r="A173" s="232">
        <v>45383</v>
      </c>
      <c r="B173" s="233" t="s">
        <v>184</v>
      </c>
      <c r="C173" s="234" t="s">
        <v>197</v>
      </c>
      <c r="D173" s="235">
        <v>4.6500000000000004</v>
      </c>
      <c r="G173"/>
      <c r="H173"/>
    </row>
    <row r="174" spans="1:8" x14ac:dyDescent="0.25">
      <c r="A174" s="232">
        <v>45383</v>
      </c>
      <c r="B174" s="233" t="s">
        <v>193</v>
      </c>
      <c r="C174" s="234" t="s">
        <v>206</v>
      </c>
      <c r="D174" s="235">
        <v>0</v>
      </c>
      <c r="G174"/>
      <c r="H174"/>
    </row>
    <row r="175" spans="1:8" x14ac:dyDescent="0.25">
      <c r="A175" s="232">
        <v>45383</v>
      </c>
      <c r="B175" s="233" t="s">
        <v>304</v>
      </c>
      <c r="C175" s="234" t="s">
        <v>305</v>
      </c>
      <c r="D175" s="235">
        <v>3.81</v>
      </c>
      <c r="G175"/>
      <c r="H175"/>
    </row>
    <row r="176" spans="1:8" x14ac:dyDescent="0.25">
      <c r="A176" s="232">
        <v>45383</v>
      </c>
      <c r="B176" s="233" t="s">
        <v>306</v>
      </c>
      <c r="C176" s="234" t="s">
        <v>202</v>
      </c>
      <c r="D176" s="235">
        <v>0</v>
      </c>
      <c r="G176"/>
      <c r="H176"/>
    </row>
    <row r="177" spans="1:8" x14ac:dyDescent="0.25">
      <c r="A177" s="232">
        <v>45383</v>
      </c>
      <c r="B177" s="233" t="s">
        <v>114</v>
      </c>
      <c r="C177" s="234" t="s">
        <v>303</v>
      </c>
      <c r="D177" s="235">
        <v>2.21</v>
      </c>
      <c r="G177"/>
      <c r="H177"/>
    </row>
    <row r="178" spans="1:8" x14ac:dyDescent="0.25">
      <c r="A178" s="232">
        <v>45383</v>
      </c>
      <c r="B178" s="233" t="s">
        <v>113</v>
      </c>
      <c r="C178" s="234" t="s">
        <v>134</v>
      </c>
      <c r="D178" s="235">
        <v>4.04</v>
      </c>
      <c r="G178"/>
      <c r="H178"/>
    </row>
    <row r="179" spans="1:8" ht="15.75" customHeight="1" x14ac:dyDescent="0.25">
      <c r="A179" s="232">
        <v>45383</v>
      </c>
      <c r="B179" s="233" t="s">
        <v>379</v>
      </c>
      <c r="C179" s="234" t="s">
        <v>127</v>
      </c>
      <c r="D179" s="235">
        <v>6.97</v>
      </c>
      <c r="G179"/>
      <c r="H179"/>
    </row>
    <row r="180" spans="1:8" x14ac:dyDescent="0.25">
      <c r="A180" s="349">
        <v>45397</v>
      </c>
      <c r="B180" s="350" t="s">
        <v>191</v>
      </c>
      <c r="C180" s="351" t="s">
        <v>204</v>
      </c>
      <c r="D180" s="352">
        <v>3.3050000000000002</v>
      </c>
      <c r="G180"/>
      <c r="H180"/>
    </row>
    <row r="181" spans="1:8" x14ac:dyDescent="0.25">
      <c r="A181" s="232">
        <v>45397</v>
      </c>
      <c r="B181" s="233" t="s">
        <v>309</v>
      </c>
      <c r="C181" s="234" t="s">
        <v>310</v>
      </c>
      <c r="D181" s="235">
        <v>3.8250000000000002</v>
      </c>
      <c r="G181"/>
      <c r="H181"/>
    </row>
    <row r="182" spans="1:8" x14ac:dyDescent="0.25">
      <c r="A182" s="232">
        <v>45397</v>
      </c>
      <c r="B182" s="233" t="s">
        <v>378</v>
      </c>
      <c r="C182" s="234" t="s">
        <v>308</v>
      </c>
      <c r="D182" s="235">
        <v>3.5750000000000002</v>
      </c>
      <c r="G182"/>
      <c r="H182"/>
    </row>
    <row r="183" spans="1:8" x14ac:dyDescent="0.25">
      <c r="A183" s="232">
        <v>45397</v>
      </c>
      <c r="B183" s="233" t="s">
        <v>196</v>
      </c>
      <c r="C183" s="234" t="s">
        <v>208</v>
      </c>
      <c r="D183" s="235">
        <v>2.9049999999999998</v>
      </c>
      <c r="G183"/>
      <c r="H183"/>
    </row>
    <row r="184" spans="1:8" x14ac:dyDescent="0.25">
      <c r="A184" s="232">
        <v>45397</v>
      </c>
      <c r="B184" s="233" t="s">
        <v>195</v>
      </c>
      <c r="C184" s="234" t="s">
        <v>207</v>
      </c>
      <c r="D184" s="235">
        <v>2.09</v>
      </c>
      <c r="G184"/>
      <c r="H184"/>
    </row>
    <row r="185" spans="1:8" x14ac:dyDescent="0.25">
      <c r="A185" s="232">
        <v>45397</v>
      </c>
      <c r="B185" s="233" t="s">
        <v>194</v>
      </c>
      <c r="C185" s="234" t="s">
        <v>209</v>
      </c>
      <c r="D185" s="235">
        <v>3.76</v>
      </c>
      <c r="G185"/>
      <c r="H185"/>
    </row>
    <row r="186" spans="1:8" x14ac:dyDescent="0.25">
      <c r="A186" s="232">
        <v>45397</v>
      </c>
      <c r="B186" s="233" t="s">
        <v>192</v>
      </c>
      <c r="C186" s="234" t="s">
        <v>205</v>
      </c>
      <c r="D186" s="235">
        <v>2.8149999999999999</v>
      </c>
      <c r="G186"/>
      <c r="H186"/>
    </row>
    <row r="187" spans="1:8" x14ac:dyDescent="0.25">
      <c r="A187" s="232">
        <v>45397</v>
      </c>
      <c r="B187" s="233" t="s">
        <v>190</v>
      </c>
      <c r="C187" s="234" t="s">
        <v>210</v>
      </c>
      <c r="D187" s="235">
        <v>3.45</v>
      </c>
      <c r="G187"/>
      <c r="H187"/>
    </row>
    <row r="188" spans="1:8" x14ac:dyDescent="0.25">
      <c r="A188" s="232">
        <v>45397</v>
      </c>
      <c r="B188" s="233" t="s">
        <v>187</v>
      </c>
      <c r="C188" s="234" t="s">
        <v>200</v>
      </c>
      <c r="D188" s="235">
        <v>3.6349999999999998</v>
      </c>
      <c r="G188"/>
      <c r="H188"/>
    </row>
    <row r="189" spans="1:8" x14ac:dyDescent="0.25">
      <c r="A189" s="232">
        <v>45397</v>
      </c>
      <c r="B189" s="233" t="s">
        <v>185</v>
      </c>
      <c r="C189" s="234" t="s">
        <v>198</v>
      </c>
      <c r="D189" s="235">
        <v>4.6950000000000003</v>
      </c>
      <c r="G189"/>
      <c r="H189"/>
    </row>
    <row r="190" spans="1:8" x14ac:dyDescent="0.25">
      <c r="A190" s="232">
        <v>45397</v>
      </c>
      <c r="B190" s="233" t="s">
        <v>184</v>
      </c>
      <c r="C190" s="234" t="s">
        <v>197</v>
      </c>
      <c r="D190" s="235">
        <v>4.3849999999999998</v>
      </c>
      <c r="G190"/>
      <c r="H190"/>
    </row>
    <row r="191" spans="1:8" x14ac:dyDescent="0.25">
      <c r="A191" s="232">
        <v>45397</v>
      </c>
      <c r="B191" s="233" t="s">
        <v>193</v>
      </c>
      <c r="C191" s="234" t="s">
        <v>206</v>
      </c>
      <c r="D191" s="235">
        <v>0</v>
      </c>
      <c r="G191"/>
      <c r="H191"/>
    </row>
    <row r="192" spans="1:8" x14ac:dyDescent="0.25">
      <c r="A192" s="232">
        <v>45397</v>
      </c>
      <c r="B192" s="233" t="s">
        <v>304</v>
      </c>
      <c r="C192" s="234" t="s">
        <v>305</v>
      </c>
      <c r="D192" s="235">
        <v>3.165</v>
      </c>
      <c r="G192"/>
      <c r="H192"/>
    </row>
    <row r="193" spans="1:8" x14ac:dyDescent="0.25">
      <c r="A193" s="232">
        <v>45397</v>
      </c>
      <c r="B193" s="233" t="s">
        <v>306</v>
      </c>
      <c r="C193" s="234" t="s">
        <v>202</v>
      </c>
      <c r="D193" s="235">
        <v>0</v>
      </c>
      <c r="G193"/>
      <c r="H193"/>
    </row>
    <row r="194" spans="1:8" x14ac:dyDescent="0.25">
      <c r="A194" s="232">
        <v>45397</v>
      </c>
      <c r="B194" s="233" t="s">
        <v>114</v>
      </c>
      <c r="C194" s="234" t="s">
        <v>303</v>
      </c>
      <c r="D194" s="235">
        <v>1.615</v>
      </c>
      <c r="G194"/>
      <c r="H194"/>
    </row>
    <row r="195" spans="1:8" x14ac:dyDescent="0.25">
      <c r="A195" s="232">
        <v>45397</v>
      </c>
      <c r="B195" s="233" t="s">
        <v>113</v>
      </c>
      <c r="C195" s="234" t="s">
        <v>134</v>
      </c>
      <c r="D195" s="235">
        <v>3.8050000000000002</v>
      </c>
      <c r="G195"/>
      <c r="H195"/>
    </row>
    <row r="196" spans="1:8" x14ac:dyDescent="0.25">
      <c r="A196" s="232">
        <v>45397</v>
      </c>
      <c r="B196" s="233" t="s">
        <v>379</v>
      </c>
      <c r="C196" s="234" t="s">
        <v>127</v>
      </c>
      <c r="D196" s="235">
        <v>7</v>
      </c>
      <c r="G196"/>
      <c r="H196"/>
    </row>
    <row r="197" spans="1:8" x14ac:dyDescent="0.25">
      <c r="A197" s="232">
        <v>45412</v>
      </c>
      <c r="B197" s="233" t="s">
        <v>191</v>
      </c>
      <c r="C197" s="234" t="s">
        <v>204</v>
      </c>
      <c r="D197" s="235">
        <v>3.26</v>
      </c>
      <c r="G197"/>
      <c r="H197"/>
    </row>
    <row r="198" spans="1:8" x14ac:dyDescent="0.25">
      <c r="A198" s="232">
        <v>45412</v>
      </c>
      <c r="B198" s="233" t="s">
        <v>309</v>
      </c>
      <c r="C198" s="234" t="s">
        <v>310</v>
      </c>
      <c r="D198" s="235">
        <v>5.7949999999999999</v>
      </c>
      <c r="G198"/>
      <c r="H198"/>
    </row>
    <row r="199" spans="1:8" x14ac:dyDescent="0.25">
      <c r="A199" s="232">
        <v>45412</v>
      </c>
      <c r="B199" s="233" t="s">
        <v>378</v>
      </c>
      <c r="C199" s="234" t="s">
        <v>308</v>
      </c>
      <c r="D199" s="235">
        <v>4.8949999999999996</v>
      </c>
      <c r="G199"/>
      <c r="H199"/>
    </row>
    <row r="200" spans="1:8" x14ac:dyDescent="0.25">
      <c r="A200" s="232">
        <v>45412</v>
      </c>
      <c r="B200" s="233" t="s">
        <v>196</v>
      </c>
      <c r="C200" s="234" t="s">
        <v>208</v>
      </c>
      <c r="D200" s="235">
        <v>4.0350000000000001</v>
      </c>
      <c r="G200"/>
      <c r="H200"/>
    </row>
    <row r="201" spans="1:8" x14ac:dyDescent="0.25">
      <c r="A201" s="232">
        <v>45412</v>
      </c>
      <c r="B201" s="233" t="s">
        <v>195</v>
      </c>
      <c r="C201" s="234" t="s">
        <v>207</v>
      </c>
      <c r="D201" s="235">
        <v>1.73</v>
      </c>
      <c r="G201"/>
      <c r="H201"/>
    </row>
    <row r="202" spans="1:8" x14ac:dyDescent="0.25">
      <c r="A202" s="232">
        <v>45412</v>
      </c>
      <c r="B202" s="233" t="s">
        <v>194</v>
      </c>
      <c r="C202" s="234" t="s">
        <v>209</v>
      </c>
      <c r="D202" s="235">
        <v>4.7149999999999999</v>
      </c>
      <c r="G202"/>
      <c r="H202"/>
    </row>
    <row r="203" spans="1:8" x14ac:dyDescent="0.25">
      <c r="A203" s="232">
        <v>45412</v>
      </c>
      <c r="B203" s="233" t="s">
        <v>192</v>
      </c>
      <c r="C203" s="234" t="s">
        <v>205</v>
      </c>
      <c r="D203" s="235">
        <v>3.05</v>
      </c>
      <c r="G203"/>
      <c r="H203"/>
    </row>
    <row r="204" spans="1:8" x14ac:dyDescent="0.25">
      <c r="A204" s="232">
        <v>45412</v>
      </c>
      <c r="B204" s="233" t="s">
        <v>190</v>
      </c>
      <c r="C204" s="234" t="s">
        <v>210</v>
      </c>
      <c r="D204" s="235">
        <v>4.07</v>
      </c>
      <c r="G204"/>
      <c r="H204"/>
    </row>
    <row r="205" spans="1:8" x14ac:dyDescent="0.25">
      <c r="A205" s="232">
        <v>45412</v>
      </c>
      <c r="B205" s="233" t="s">
        <v>187</v>
      </c>
      <c r="C205" s="234" t="s">
        <v>200</v>
      </c>
      <c r="D205" s="235">
        <v>4.08</v>
      </c>
      <c r="G205"/>
      <c r="H205"/>
    </row>
    <row r="206" spans="1:8" x14ac:dyDescent="0.25">
      <c r="A206" s="232">
        <v>45412</v>
      </c>
      <c r="B206" s="233" t="s">
        <v>185</v>
      </c>
      <c r="C206" s="234" t="s">
        <v>198</v>
      </c>
      <c r="D206" s="235">
        <v>5.25</v>
      </c>
      <c r="G206"/>
      <c r="H206"/>
    </row>
    <row r="207" spans="1:8" x14ac:dyDescent="0.25">
      <c r="A207" s="232">
        <v>45412</v>
      </c>
      <c r="B207" s="233" t="s">
        <v>184</v>
      </c>
      <c r="C207" s="234" t="s">
        <v>197</v>
      </c>
      <c r="D207" s="235">
        <v>5.915</v>
      </c>
      <c r="G207"/>
      <c r="H207"/>
    </row>
    <row r="208" spans="1:8" x14ac:dyDescent="0.25">
      <c r="A208" s="232">
        <v>45412</v>
      </c>
      <c r="B208" s="233" t="s">
        <v>193</v>
      </c>
      <c r="C208" s="234" t="s">
        <v>206</v>
      </c>
      <c r="D208" s="235">
        <v>0</v>
      </c>
      <c r="G208"/>
      <c r="H208"/>
    </row>
    <row r="209" spans="1:8" x14ac:dyDescent="0.25">
      <c r="A209" s="232">
        <v>45412</v>
      </c>
      <c r="B209" s="233" t="s">
        <v>304</v>
      </c>
      <c r="C209" s="234" t="s">
        <v>305</v>
      </c>
      <c r="D209" s="235">
        <v>6.04</v>
      </c>
      <c r="G209"/>
      <c r="H209"/>
    </row>
    <row r="210" spans="1:8" x14ac:dyDescent="0.25">
      <c r="A210" s="232">
        <v>45412</v>
      </c>
      <c r="B210" s="233" t="s">
        <v>306</v>
      </c>
      <c r="C210" s="234" t="s">
        <v>202</v>
      </c>
      <c r="D210" s="235">
        <v>0</v>
      </c>
      <c r="G210"/>
      <c r="H210"/>
    </row>
    <row r="211" spans="1:8" x14ac:dyDescent="0.25">
      <c r="A211" s="232">
        <v>45412</v>
      </c>
      <c r="B211" s="233" t="s">
        <v>114</v>
      </c>
      <c r="C211" s="234" t="s">
        <v>303</v>
      </c>
      <c r="D211" s="235">
        <v>1.93</v>
      </c>
      <c r="G211"/>
      <c r="H211"/>
    </row>
    <row r="212" spans="1:8" x14ac:dyDescent="0.25">
      <c r="A212" s="232">
        <v>45412</v>
      </c>
      <c r="B212" s="233" t="s">
        <v>113</v>
      </c>
      <c r="C212" s="234" t="s">
        <v>134</v>
      </c>
      <c r="D212" s="235">
        <v>5.03</v>
      </c>
      <c r="G212"/>
      <c r="H212"/>
    </row>
    <row r="213" spans="1:8" x14ac:dyDescent="0.25">
      <c r="A213" s="232">
        <v>45412</v>
      </c>
      <c r="B213" s="233" t="s">
        <v>379</v>
      </c>
      <c r="C213" s="234" t="s">
        <v>127</v>
      </c>
      <c r="D213" s="235">
        <v>7.75</v>
      </c>
      <c r="G213"/>
      <c r="H213"/>
    </row>
    <row r="214" spans="1:8" ht="15.75" customHeight="1" x14ac:dyDescent="0.25">
      <c r="A214" s="232">
        <v>45427</v>
      </c>
      <c r="B214" s="233" t="s">
        <v>191</v>
      </c>
      <c r="C214" s="234" t="s">
        <v>204</v>
      </c>
      <c r="D214" s="235">
        <v>3.7850000000000001</v>
      </c>
      <c r="G214"/>
      <c r="H214"/>
    </row>
    <row r="215" spans="1:8" x14ac:dyDescent="0.25">
      <c r="A215" s="232">
        <v>45427</v>
      </c>
      <c r="B215" s="233" t="s">
        <v>309</v>
      </c>
      <c r="C215" s="234" t="s">
        <v>310</v>
      </c>
      <c r="D215" s="235">
        <v>6.95</v>
      </c>
      <c r="G215"/>
      <c r="H215"/>
    </row>
    <row r="216" spans="1:8" x14ac:dyDescent="0.25">
      <c r="A216" s="232">
        <v>45427</v>
      </c>
      <c r="B216" s="233" t="s">
        <v>378</v>
      </c>
      <c r="C216" s="234" t="s">
        <v>308</v>
      </c>
      <c r="D216" s="235">
        <v>5.56</v>
      </c>
      <c r="G216"/>
      <c r="H216"/>
    </row>
    <row r="217" spans="1:8" x14ac:dyDescent="0.25">
      <c r="A217" s="232">
        <v>45427</v>
      </c>
      <c r="B217" s="233" t="s">
        <v>196</v>
      </c>
      <c r="C217" s="234" t="s">
        <v>208</v>
      </c>
      <c r="D217" s="235">
        <v>3.5150000000000001</v>
      </c>
      <c r="G217"/>
      <c r="H217"/>
    </row>
    <row r="218" spans="1:8" x14ac:dyDescent="0.25">
      <c r="A218" s="232">
        <v>45427</v>
      </c>
      <c r="B218" s="233" t="s">
        <v>195</v>
      </c>
      <c r="C218" s="234" t="s">
        <v>207</v>
      </c>
      <c r="D218" s="235">
        <v>1.4650000000000001</v>
      </c>
      <c r="G218"/>
      <c r="H218"/>
    </row>
    <row r="219" spans="1:8" x14ac:dyDescent="0.25">
      <c r="A219" s="232">
        <v>45427</v>
      </c>
      <c r="B219" s="233" t="s">
        <v>194</v>
      </c>
      <c r="C219" s="234" t="s">
        <v>209</v>
      </c>
      <c r="D219" s="235">
        <v>4.9800000000000004</v>
      </c>
      <c r="G219"/>
      <c r="H219"/>
    </row>
    <row r="220" spans="1:8" x14ac:dyDescent="0.25">
      <c r="A220" s="232">
        <v>45427</v>
      </c>
      <c r="B220" s="233" t="s">
        <v>192</v>
      </c>
      <c r="C220" s="234" t="s">
        <v>205</v>
      </c>
      <c r="D220" s="235">
        <v>2.9350000000000001</v>
      </c>
      <c r="G220"/>
      <c r="H220"/>
    </row>
    <row r="221" spans="1:8" x14ac:dyDescent="0.25">
      <c r="A221" s="232">
        <v>45427</v>
      </c>
      <c r="B221" s="233" t="s">
        <v>190</v>
      </c>
      <c r="C221" s="234" t="s">
        <v>210</v>
      </c>
      <c r="D221" s="235">
        <v>5.1349999999999998</v>
      </c>
      <c r="G221"/>
      <c r="H221"/>
    </row>
    <row r="222" spans="1:8" x14ac:dyDescent="0.25">
      <c r="A222" s="232">
        <v>45427</v>
      </c>
      <c r="B222" s="233" t="s">
        <v>187</v>
      </c>
      <c r="C222" s="234" t="s">
        <v>200</v>
      </c>
      <c r="D222" s="235">
        <v>3.7450000000000001</v>
      </c>
      <c r="G222"/>
      <c r="H222"/>
    </row>
    <row r="223" spans="1:8" x14ac:dyDescent="0.25">
      <c r="A223" s="232">
        <v>45427</v>
      </c>
      <c r="B223" s="233" t="s">
        <v>185</v>
      </c>
      <c r="C223" s="234" t="s">
        <v>198</v>
      </c>
      <c r="D223" s="235">
        <v>4.9400000000000004</v>
      </c>
      <c r="G223"/>
      <c r="H223"/>
    </row>
    <row r="224" spans="1:8" x14ac:dyDescent="0.25">
      <c r="A224" s="232">
        <v>45427</v>
      </c>
      <c r="B224" s="233" t="s">
        <v>184</v>
      </c>
      <c r="C224" s="234" t="s">
        <v>197</v>
      </c>
      <c r="D224" s="235">
        <v>6.78</v>
      </c>
      <c r="G224"/>
      <c r="H224"/>
    </row>
    <row r="225" spans="1:8" x14ac:dyDescent="0.25">
      <c r="A225" s="232">
        <v>45427</v>
      </c>
      <c r="B225" s="233" t="s">
        <v>193</v>
      </c>
      <c r="C225" s="234" t="s">
        <v>206</v>
      </c>
      <c r="D225" s="235">
        <v>0</v>
      </c>
      <c r="G225"/>
      <c r="H225"/>
    </row>
    <row r="226" spans="1:8" x14ac:dyDescent="0.25">
      <c r="A226" s="232">
        <v>45427</v>
      </c>
      <c r="B226" s="233" t="s">
        <v>304</v>
      </c>
      <c r="C226" s="234" t="s">
        <v>305</v>
      </c>
      <c r="D226" s="235">
        <v>7.9</v>
      </c>
      <c r="G226"/>
      <c r="H226"/>
    </row>
    <row r="227" spans="1:8" x14ac:dyDescent="0.25">
      <c r="A227" s="232">
        <v>45427</v>
      </c>
      <c r="B227" s="233" t="s">
        <v>306</v>
      </c>
      <c r="C227" s="234" t="s">
        <v>202</v>
      </c>
      <c r="D227" s="235">
        <v>0</v>
      </c>
      <c r="G227"/>
      <c r="H227"/>
    </row>
    <row r="228" spans="1:8" x14ac:dyDescent="0.25">
      <c r="A228" s="232">
        <v>45427</v>
      </c>
      <c r="B228" s="233" t="s">
        <v>114</v>
      </c>
      <c r="C228" s="234" t="s">
        <v>303</v>
      </c>
      <c r="D228" s="235">
        <v>1.86</v>
      </c>
      <c r="G228"/>
      <c r="H228"/>
    </row>
    <row r="229" spans="1:8" x14ac:dyDescent="0.25">
      <c r="A229" s="232">
        <v>45427</v>
      </c>
      <c r="B229" s="233" t="s">
        <v>113</v>
      </c>
      <c r="C229" s="234" t="s">
        <v>134</v>
      </c>
      <c r="D229" s="235">
        <v>5.04</v>
      </c>
      <c r="G229"/>
      <c r="H229"/>
    </row>
    <row r="230" spans="1:8" x14ac:dyDescent="0.25">
      <c r="A230" s="232">
        <v>45427</v>
      </c>
      <c r="B230" s="233" t="s">
        <v>379</v>
      </c>
      <c r="C230" s="234" t="s">
        <v>127</v>
      </c>
      <c r="D230" s="235">
        <v>8.68</v>
      </c>
      <c r="G230"/>
      <c r="H230"/>
    </row>
    <row r="231" spans="1:8" x14ac:dyDescent="0.25">
      <c r="A231" s="232">
        <v>45442</v>
      </c>
      <c r="B231" s="233" t="s">
        <v>190</v>
      </c>
      <c r="C231" s="234" t="s">
        <v>203</v>
      </c>
      <c r="D231" s="235">
        <v>4.75</v>
      </c>
      <c r="G231"/>
      <c r="H231"/>
    </row>
    <row r="232" spans="1:8" x14ac:dyDescent="0.25">
      <c r="A232" s="232">
        <v>45442</v>
      </c>
      <c r="B232" s="233" t="s">
        <v>191</v>
      </c>
      <c r="C232" s="234" t="s">
        <v>204</v>
      </c>
      <c r="D232" s="235">
        <v>3.97</v>
      </c>
      <c r="G232"/>
      <c r="H232"/>
    </row>
    <row r="233" spans="1:8" x14ac:dyDescent="0.25">
      <c r="A233" s="232">
        <v>45442</v>
      </c>
      <c r="B233" s="233" t="s">
        <v>185</v>
      </c>
      <c r="C233" s="234" t="s">
        <v>198</v>
      </c>
      <c r="D233" s="235">
        <v>5.31</v>
      </c>
      <c r="G233"/>
      <c r="H233"/>
    </row>
    <row r="234" spans="1:8" x14ac:dyDescent="0.25">
      <c r="A234" s="232">
        <v>45442</v>
      </c>
      <c r="B234" s="233" t="s">
        <v>184</v>
      </c>
      <c r="C234" s="234" t="s">
        <v>197</v>
      </c>
      <c r="D234" s="235">
        <v>5.27</v>
      </c>
      <c r="G234"/>
      <c r="H234"/>
    </row>
    <row r="235" spans="1:8" x14ac:dyDescent="0.25">
      <c r="A235" s="232">
        <v>45442</v>
      </c>
      <c r="B235" s="233" t="s">
        <v>194</v>
      </c>
      <c r="C235" s="234" t="s">
        <v>209</v>
      </c>
      <c r="D235" s="235">
        <v>4.2699999999999996</v>
      </c>
      <c r="G235"/>
      <c r="H235"/>
    </row>
    <row r="236" spans="1:8" x14ac:dyDescent="0.25">
      <c r="A236" s="232">
        <v>45442</v>
      </c>
      <c r="B236" s="233" t="s">
        <v>196</v>
      </c>
      <c r="C236" s="234" t="s">
        <v>208</v>
      </c>
      <c r="D236" s="235">
        <v>3.97</v>
      </c>
      <c r="G236"/>
      <c r="H236"/>
    </row>
    <row r="237" spans="1:8" x14ac:dyDescent="0.25">
      <c r="A237" s="232">
        <v>45442</v>
      </c>
      <c r="B237" s="233" t="s">
        <v>304</v>
      </c>
      <c r="C237" s="234" t="s">
        <v>118</v>
      </c>
      <c r="D237" s="235">
        <v>7.165</v>
      </c>
      <c r="G237"/>
      <c r="H237"/>
    </row>
    <row r="238" spans="1:8" x14ac:dyDescent="0.25">
      <c r="A238" s="232">
        <v>45442</v>
      </c>
      <c r="B238" s="233" t="s">
        <v>309</v>
      </c>
      <c r="C238" s="234" t="s">
        <v>4</v>
      </c>
      <c r="D238" s="235">
        <v>6.94</v>
      </c>
      <c r="G238"/>
      <c r="H238"/>
    </row>
    <row r="239" spans="1:8" x14ac:dyDescent="0.25">
      <c r="A239" s="232">
        <v>45442</v>
      </c>
      <c r="B239" s="233" t="s">
        <v>378</v>
      </c>
      <c r="C239" s="234" t="s">
        <v>117</v>
      </c>
      <c r="D239" s="235">
        <v>5.2</v>
      </c>
      <c r="G239"/>
      <c r="H239"/>
    </row>
    <row r="240" spans="1:8" x14ac:dyDescent="0.25">
      <c r="A240" s="232">
        <v>45442</v>
      </c>
      <c r="B240" s="233" t="s">
        <v>113</v>
      </c>
      <c r="C240" s="234" t="s">
        <v>134</v>
      </c>
      <c r="D240" s="235">
        <v>5</v>
      </c>
      <c r="G240"/>
      <c r="H240"/>
    </row>
    <row r="241" spans="1:8" x14ac:dyDescent="0.25">
      <c r="A241" s="232">
        <v>45442</v>
      </c>
      <c r="B241" s="233" t="s">
        <v>114</v>
      </c>
      <c r="C241" s="234" t="s">
        <v>133</v>
      </c>
      <c r="D241" s="235">
        <v>2.0699999999999998</v>
      </c>
      <c r="G241"/>
      <c r="H241"/>
    </row>
    <row r="242" spans="1:8" x14ac:dyDescent="0.25">
      <c r="A242" s="232">
        <v>45442</v>
      </c>
      <c r="B242" s="233" t="s">
        <v>379</v>
      </c>
      <c r="C242" s="234" t="s">
        <v>127</v>
      </c>
      <c r="D242" s="235">
        <v>7.38</v>
      </c>
      <c r="G242"/>
      <c r="H242"/>
    </row>
    <row r="243" spans="1:8" x14ac:dyDescent="0.25">
      <c r="A243" s="232">
        <v>45458</v>
      </c>
      <c r="B243" s="233" t="s">
        <v>190</v>
      </c>
      <c r="C243" s="234" t="s">
        <v>203</v>
      </c>
      <c r="D243" s="235">
        <v>4.3099999999999996</v>
      </c>
      <c r="G243"/>
      <c r="H243"/>
    </row>
    <row r="244" spans="1:8" x14ac:dyDescent="0.25">
      <c r="A244" s="232">
        <v>45458</v>
      </c>
      <c r="B244" s="233" t="s">
        <v>191</v>
      </c>
      <c r="C244" s="234" t="s">
        <v>204</v>
      </c>
      <c r="D244" s="235">
        <v>4.0750000000000002</v>
      </c>
      <c r="G244"/>
      <c r="H244"/>
    </row>
    <row r="245" spans="1:8" x14ac:dyDescent="0.25">
      <c r="A245" s="232">
        <v>45458</v>
      </c>
      <c r="B245" s="233" t="s">
        <v>185</v>
      </c>
      <c r="C245" s="234" t="s">
        <v>198</v>
      </c>
      <c r="D245" s="235">
        <v>5.39</v>
      </c>
      <c r="G245"/>
      <c r="H245"/>
    </row>
    <row r="246" spans="1:8" x14ac:dyDescent="0.25">
      <c r="A246" s="232">
        <v>45458</v>
      </c>
      <c r="B246" s="233" t="s">
        <v>184</v>
      </c>
      <c r="C246" s="234" t="s">
        <v>197</v>
      </c>
      <c r="D246" s="235">
        <v>4.9449999999999994</v>
      </c>
      <c r="G246"/>
      <c r="H246"/>
    </row>
    <row r="247" spans="1:8" x14ac:dyDescent="0.25">
      <c r="A247" s="232">
        <v>45458</v>
      </c>
      <c r="B247" s="233" t="s">
        <v>194</v>
      </c>
      <c r="C247" s="234" t="s">
        <v>209</v>
      </c>
      <c r="D247" s="235">
        <v>4.0149999999999997</v>
      </c>
      <c r="G247"/>
      <c r="H247"/>
    </row>
    <row r="248" spans="1:8" x14ac:dyDescent="0.25">
      <c r="A248" s="232">
        <v>45458</v>
      </c>
      <c r="B248" s="233" t="s">
        <v>196</v>
      </c>
      <c r="C248" s="234" t="s">
        <v>208</v>
      </c>
      <c r="D248" s="235">
        <v>4.0199999999999996</v>
      </c>
      <c r="G248"/>
      <c r="H248"/>
    </row>
    <row r="249" spans="1:8" x14ac:dyDescent="0.25">
      <c r="A249" s="232">
        <v>45458</v>
      </c>
      <c r="B249" s="233" t="s">
        <v>304</v>
      </c>
      <c r="C249" s="234" t="s">
        <v>118</v>
      </c>
      <c r="D249" s="235">
        <v>6.9950000000000001</v>
      </c>
      <c r="G249"/>
      <c r="H249"/>
    </row>
    <row r="250" spans="1:8" x14ac:dyDescent="0.25">
      <c r="A250" s="232">
        <v>45458</v>
      </c>
      <c r="B250" s="233" t="s">
        <v>309</v>
      </c>
      <c r="C250" s="234" t="s">
        <v>4</v>
      </c>
      <c r="D250" s="235">
        <v>7.7050000000000001</v>
      </c>
      <c r="G250"/>
      <c r="H250"/>
    </row>
    <row r="251" spans="1:8" x14ac:dyDescent="0.25">
      <c r="A251" s="232">
        <v>45458</v>
      </c>
      <c r="B251" s="233" t="s">
        <v>378</v>
      </c>
      <c r="C251" s="234" t="s">
        <v>117</v>
      </c>
      <c r="D251" s="235">
        <v>5.2729999999999997</v>
      </c>
    </row>
    <row r="252" spans="1:8" x14ac:dyDescent="0.25">
      <c r="A252" s="232">
        <v>45458</v>
      </c>
      <c r="B252" s="233" t="s">
        <v>113</v>
      </c>
      <c r="C252" s="234" t="s">
        <v>134</v>
      </c>
      <c r="D252" s="235">
        <v>5.3449999999999998</v>
      </c>
    </row>
    <row r="253" spans="1:8" x14ac:dyDescent="0.25">
      <c r="A253" s="232">
        <v>45458</v>
      </c>
      <c r="B253" s="233" t="s">
        <v>114</v>
      </c>
      <c r="C253" s="234" t="s">
        <v>133</v>
      </c>
      <c r="D253" s="235">
        <v>2.165</v>
      </c>
    </row>
    <row r="254" spans="1:8" x14ac:dyDescent="0.25">
      <c r="A254" s="232">
        <v>45458</v>
      </c>
      <c r="B254" s="233" t="s">
        <v>379</v>
      </c>
      <c r="C254" s="234" t="s">
        <v>127</v>
      </c>
      <c r="D254" s="235">
        <v>8.1050000000000004</v>
      </c>
    </row>
    <row r="255" spans="1:8" x14ac:dyDescent="0.25">
      <c r="A255" s="232">
        <v>45473</v>
      </c>
      <c r="B255" s="233" t="s">
        <v>190</v>
      </c>
      <c r="C255" s="234" t="s">
        <v>203</v>
      </c>
      <c r="D255" s="235">
        <v>4.46</v>
      </c>
    </row>
    <row r="256" spans="1:8" x14ac:dyDescent="0.25">
      <c r="A256" s="232">
        <v>45473</v>
      </c>
      <c r="B256" s="233" t="s">
        <v>191</v>
      </c>
      <c r="C256" s="234" t="s">
        <v>204</v>
      </c>
      <c r="D256" s="235">
        <v>4.8949999999999996</v>
      </c>
    </row>
    <row r="257" spans="1:4" x14ac:dyDescent="0.25">
      <c r="A257" s="232">
        <v>45473</v>
      </c>
      <c r="B257" s="233" t="s">
        <v>185</v>
      </c>
      <c r="C257" s="234" t="s">
        <v>198</v>
      </c>
      <c r="D257" s="235">
        <v>5.05</v>
      </c>
    </row>
    <row r="258" spans="1:4" x14ac:dyDescent="0.25">
      <c r="A258" s="232">
        <v>45473</v>
      </c>
      <c r="B258" s="233" t="s">
        <v>184</v>
      </c>
      <c r="C258" s="234" t="s">
        <v>197</v>
      </c>
      <c r="D258" s="235">
        <v>2.9649999999999999</v>
      </c>
    </row>
    <row r="259" spans="1:4" x14ac:dyDescent="0.25">
      <c r="A259" s="232">
        <v>45473</v>
      </c>
      <c r="B259" s="233" t="s">
        <v>194</v>
      </c>
      <c r="C259" s="234" t="s">
        <v>209</v>
      </c>
      <c r="D259" s="235">
        <v>3.5949999999999998</v>
      </c>
    </row>
    <row r="260" spans="1:4" x14ac:dyDescent="0.25">
      <c r="A260" s="232">
        <v>45473</v>
      </c>
      <c r="B260" s="233" t="s">
        <v>196</v>
      </c>
      <c r="C260" s="234" t="s">
        <v>208</v>
      </c>
      <c r="D260" s="235">
        <v>3.95</v>
      </c>
    </row>
    <row r="261" spans="1:4" x14ac:dyDescent="0.25">
      <c r="A261" s="232">
        <v>45473</v>
      </c>
      <c r="B261" s="233" t="s">
        <v>304</v>
      </c>
      <c r="C261" s="234" t="s">
        <v>118</v>
      </c>
      <c r="D261" s="235">
        <v>7.1449999999999996</v>
      </c>
    </row>
    <row r="262" spans="1:4" x14ac:dyDescent="0.25">
      <c r="A262" s="232">
        <v>45473</v>
      </c>
      <c r="B262" s="233" t="s">
        <v>309</v>
      </c>
      <c r="C262" s="234" t="s">
        <v>4</v>
      </c>
      <c r="D262" s="235">
        <v>6.5699999999999994</v>
      </c>
    </row>
    <row r="263" spans="1:4" x14ac:dyDescent="0.25">
      <c r="A263" s="232">
        <v>45473</v>
      </c>
      <c r="B263" s="233" t="s">
        <v>378</v>
      </c>
      <c r="C263" s="234" t="s">
        <v>117</v>
      </c>
      <c r="D263" s="235">
        <v>5.3449999999999998</v>
      </c>
    </row>
    <row r="264" spans="1:4" x14ac:dyDescent="0.25">
      <c r="A264" s="232">
        <v>45473</v>
      </c>
      <c r="B264" s="233" t="s">
        <v>113</v>
      </c>
      <c r="C264" s="234" t="s">
        <v>134</v>
      </c>
      <c r="D264" s="235">
        <v>5.01</v>
      </c>
    </row>
    <row r="265" spans="1:4" x14ac:dyDescent="0.25">
      <c r="A265" s="232">
        <v>45473</v>
      </c>
      <c r="B265" s="233" t="s">
        <v>114</v>
      </c>
      <c r="C265" s="234" t="s">
        <v>133</v>
      </c>
      <c r="D265" s="235">
        <v>1.8949999999999998</v>
      </c>
    </row>
    <row r="266" spans="1:4" x14ac:dyDescent="0.25">
      <c r="A266" s="232">
        <v>45473</v>
      </c>
      <c r="B266" s="233" t="s">
        <v>379</v>
      </c>
      <c r="C266" s="234" t="s">
        <v>127</v>
      </c>
      <c r="D266" s="235">
        <v>7.51</v>
      </c>
    </row>
    <row r="267" spans="1:4" x14ac:dyDescent="0.25">
      <c r="A267" s="232">
        <v>45488</v>
      </c>
      <c r="B267" s="233" t="s">
        <v>190</v>
      </c>
      <c r="C267" s="234" t="s">
        <v>203</v>
      </c>
      <c r="D267" s="235">
        <v>3.62</v>
      </c>
    </row>
    <row r="268" spans="1:4" x14ac:dyDescent="0.25">
      <c r="A268" s="232">
        <v>45488</v>
      </c>
      <c r="B268" s="233" t="s">
        <v>191</v>
      </c>
      <c r="C268" s="234" t="s">
        <v>204</v>
      </c>
      <c r="D268" s="235">
        <v>3.6499999999999995</v>
      </c>
    </row>
    <row r="269" spans="1:4" x14ac:dyDescent="0.25">
      <c r="A269" s="232">
        <v>45488</v>
      </c>
      <c r="B269" s="233" t="s">
        <v>185</v>
      </c>
      <c r="C269" s="234" t="s">
        <v>198</v>
      </c>
      <c r="D269" s="235">
        <v>4.9550000000000001</v>
      </c>
    </row>
    <row r="270" spans="1:4" x14ac:dyDescent="0.25">
      <c r="A270" s="232">
        <v>45488</v>
      </c>
      <c r="B270" s="233" t="s">
        <v>184</v>
      </c>
      <c r="C270" s="234" t="s">
        <v>197</v>
      </c>
      <c r="D270" s="235">
        <v>2.2549999999999999</v>
      </c>
    </row>
    <row r="271" spans="1:4" x14ac:dyDescent="0.25">
      <c r="A271" s="232">
        <v>45488</v>
      </c>
      <c r="B271" s="233" t="s">
        <v>194</v>
      </c>
      <c r="C271" s="234" t="s">
        <v>209</v>
      </c>
      <c r="D271" s="235">
        <v>3.46</v>
      </c>
    </row>
    <row r="272" spans="1:4" x14ac:dyDescent="0.25">
      <c r="A272" s="232">
        <v>45488</v>
      </c>
      <c r="B272" s="233" t="s">
        <v>196</v>
      </c>
      <c r="C272" s="234" t="s">
        <v>208</v>
      </c>
      <c r="D272" s="235">
        <v>3.585</v>
      </c>
    </row>
    <row r="273" spans="1:4" x14ac:dyDescent="0.25">
      <c r="A273" s="232">
        <v>45488</v>
      </c>
      <c r="B273" s="233" t="s">
        <v>304</v>
      </c>
      <c r="C273" s="234" t="s">
        <v>118</v>
      </c>
      <c r="D273" s="235">
        <v>6.1099999999999994</v>
      </c>
    </row>
    <row r="274" spans="1:4" x14ac:dyDescent="0.25">
      <c r="A274" s="232">
        <v>45488</v>
      </c>
      <c r="B274" s="233" t="s">
        <v>309</v>
      </c>
      <c r="C274" s="234" t="s">
        <v>4</v>
      </c>
      <c r="D274" s="235">
        <v>6.0149999999999997</v>
      </c>
    </row>
    <row r="275" spans="1:4" x14ac:dyDescent="0.25">
      <c r="A275" s="232">
        <v>45488</v>
      </c>
      <c r="B275" s="233" t="s">
        <v>378</v>
      </c>
      <c r="C275" s="234" t="s">
        <v>117</v>
      </c>
      <c r="D275" s="235">
        <v>5.16</v>
      </c>
    </row>
    <row r="276" spans="1:4" x14ac:dyDescent="0.25">
      <c r="A276" s="232">
        <v>45488</v>
      </c>
      <c r="B276" s="233" t="s">
        <v>113</v>
      </c>
      <c r="C276" s="234" t="s">
        <v>134</v>
      </c>
      <c r="D276" s="235">
        <v>5.1099999999999994</v>
      </c>
    </row>
    <row r="277" spans="1:4" x14ac:dyDescent="0.25">
      <c r="A277" s="232">
        <v>45488</v>
      </c>
      <c r="B277" s="233" t="s">
        <v>114</v>
      </c>
      <c r="C277" s="234" t="s">
        <v>133</v>
      </c>
      <c r="D277" s="235">
        <v>1.5999999999999999</v>
      </c>
    </row>
    <row r="278" spans="1:4" x14ac:dyDescent="0.25">
      <c r="A278" s="232">
        <v>45488</v>
      </c>
      <c r="B278" s="233" t="s">
        <v>379</v>
      </c>
      <c r="C278" s="234" t="s">
        <v>127</v>
      </c>
      <c r="D278" s="235">
        <v>7.27</v>
      </c>
    </row>
    <row r="279" spans="1:4" x14ac:dyDescent="0.25">
      <c r="A279" s="232">
        <v>45488</v>
      </c>
      <c r="B279" s="233" t="s">
        <v>380</v>
      </c>
      <c r="C279" s="234" t="s">
        <v>410</v>
      </c>
      <c r="D279" s="235">
        <v>5.7850000000000001</v>
      </c>
    </row>
    <row r="280" spans="1:4" x14ac:dyDescent="0.25">
      <c r="A280" s="232">
        <v>45504</v>
      </c>
      <c r="B280" s="233" t="s">
        <v>190</v>
      </c>
      <c r="C280" s="234" t="s">
        <v>203</v>
      </c>
      <c r="D280" s="235">
        <v>2.62</v>
      </c>
    </row>
    <row r="281" spans="1:4" x14ac:dyDescent="0.25">
      <c r="A281" s="232">
        <v>45504</v>
      </c>
      <c r="B281" s="233" t="s">
        <v>191</v>
      </c>
      <c r="C281" s="234" t="s">
        <v>204</v>
      </c>
      <c r="D281" s="235">
        <v>2.9950000000000001</v>
      </c>
    </row>
    <row r="282" spans="1:4" x14ac:dyDescent="0.25">
      <c r="A282" s="232">
        <v>45504</v>
      </c>
      <c r="B282" s="233" t="s">
        <v>185</v>
      </c>
      <c r="C282" s="234" t="s">
        <v>198</v>
      </c>
      <c r="D282" s="235">
        <v>4.41</v>
      </c>
    </row>
    <row r="283" spans="1:4" x14ac:dyDescent="0.25">
      <c r="A283" s="232">
        <v>45504</v>
      </c>
      <c r="B283" s="233" t="s">
        <v>184</v>
      </c>
      <c r="C283" s="234" t="s">
        <v>197</v>
      </c>
      <c r="D283" s="235">
        <v>1.18</v>
      </c>
    </row>
    <row r="284" spans="1:4" x14ac:dyDescent="0.25">
      <c r="A284" s="232">
        <v>45504</v>
      </c>
      <c r="B284" s="233" t="s">
        <v>194</v>
      </c>
      <c r="C284" s="234" t="s">
        <v>209</v>
      </c>
      <c r="D284" s="235">
        <v>3.3849999999999998</v>
      </c>
    </row>
    <row r="285" spans="1:4" x14ac:dyDescent="0.25">
      <c r="A285" s="232">
        <v>45504</v>
      </c>
      <c r="B285" s="233" t="s">
        <v>196</v>
      </c>
      <c r="C285" s="234" t="s">
        <v>208</v>
      </c>
      <c r="D285" s="235">
        <v>2.5499999999999998</v>
      </c>
    </row>
    <row r="286" spans="1:4" x14ac:dyDescent="0.25">
      <c r="A286" s="232">
        <v>45504</v>
      </c>
      <c r="B286" s="233" t="s">
        <v>304</v>
      </c>
      <c r="C286" s="234" t="s">
        <v>118</v>
      </c>
      <c r="D286" s="235">
        <v>5.5149999999999997</v>
      </c>
    </row>
    <row r="287" spans="1:4" x14ac:dyDescent="0.25">
      <c r="A287" s="232">
        <v>45504</v>
      </c>
      <c r="B287" s="233" t="s">
        <v>309</v>
      </c>
      <c r="C287" s="234" t="s">
        <v>4</v>
      </c>
      <c r="D287" s="235">
        <v>5.7799999999999994</v>
      </c>
    </row>
    <row r="288" spans="1:4" x14ac:dyDescent="0.25">
      <c r="A288" s="232">
        <v>45504</v>
      </c>
      <c r="B288" s="233" t="s">
        <v>378</v>
      </c>
      <c r="C288" s="234" t="s">
        <v>117</v>
      </c>
      <c r="D288" s="235">
        <v>4.72</v>
      </c>
    </row>
    <row r="289" spans="1:4" x14ac:dyDescent="0.25">
      <c r="A289" s="232">
        <v>45504</v>
      </c>
      <c r="B289" s="233" t="s">
        <v>113</v>
      </c>
      <c r="C289" s="234" t="s">
        <v>134</v>
      </c>
      <c r="D289" s="235">
        <v>4.6899999999999995</v>
      </c>
    </row>
    <row r="290" spans="1:4" x14ac:dyDescent="0.25">
      <c r="A290" s="232">
        <v>45504</v>
      </c>
      <c r="B290" s="233" t="s">
        <v>114</v>
      </c>
      <c r="C290" s="234" t="s">
        <v>133</v>
      </c>
      <c r="D290" s="235">
        <v>3.08</v>
      </c>
    </row>
    <row r="291" spans="1:4" x14ac:dyDescent="0.25">
      <c r="A291" s="232">
        <v>45504</v>
      </c>
      <c r="B291" s="233" t="s">
        <v>379</v>
      </c>
      <c r="C291" s="234" t="s">
        <v>127</v>
      </c>
      <c r="D291" s="235">
        <v>6.83</v>
      </c>
    </row>
    <row r="292" spans="1:4" x14ac:dyDescent="0.25">
      <c r="A292" s="232">
        <v>45504</v>
      </c>
      <c r="B292" s="233" t="s">
        <v>380</v>
      </c>
      <c r="C292" s="234" t="s">
        <v>410</v>
      </c>
      <c r="D292" s="235">
        <v>6.22</v>
      </c>
    </row>
    <row r="293" spans="1:4" x14ac:dyDescent="0.25">
      <c r="A293" s="232">
        <v>45519</v>
      </c>
      <c r="B293" s="233" t="s">
        <v>190</v>
      </c>
      <c r="C293" s="234" t="s">
        <v>203</v>
      </c>
      <c r="D293" s="235">
        <v>1.8800000000000001</v>
      </c>
    </row>
    <row r="294" spans="1:4" x14ac:dyDescent="0.25">
      <c r="A294" s="232">
        <v>45519</v>
      </c>
      <c r="B294" s="233" t="s">
        <v>191</v>
      </c>
      <c r="C294" s="234" t="s">
        <v>204</v>
      </c>
      <c r="D294" s="235">
        <v>2.2000000000000002</v>
      </c>
    </row>
    <row r="295" spans="1:4" x14ac:dyDescent="0.25">
      <c r="A295" s="232">
        <v>45519</v>
      </c>
      <c r="B295" s="233" t="s">
        <v>185</v>
      </c>
      <c r="C295" s="234" t="s">
        <v>198</v>
      </c>
      <c r="D295" s="235">
        <v>4.1899999999999995</v>
      </c>
    </row>
    <row r="296" spans="1:4" x14ac:dyDescent="0.25">
      <c r="A296" s="232">
        <v>45519</v>
      </c>
      <c r="B296" s="233" t="s">
        <v>184</v>
      </c>
      <c r="C296" s="234" t="s">
        <v>197</v>
      </c>
      <c r="D296" s="235">
        <v>0</v>
      </c>
    </row>
    <row r="297" spans="1:4" x14ac:dyDescent="0.25">
      <c r="A297" s="232">
        <v>45519</v>
      </c>
      <c r="B297" s="233" t="s">
        <v>194</v>
      </c>
      <c r="C297" s="234" t="s">
        <v>209</v>
      </c>
      <c r="D297" s="235">
        <v>3.1349999999999998</v>
      </c>
    </row>
    <row r="298" spans="1:4" x14ac:dyDescent="0.25">
      <c r="A298" s="232">
        <v>45519</v>
      </c>
      <c r="B298" s="233" t="s">
        <v>196</v>
      </c>
      <c r="C298" s="234" t="s">
        <v>208</v>
      </c>
      <c r="D298" s="235">
        <v>2.5499999999999998</v>
      </c>
    </row>
    <row r="299" spans="1:4" x14ac:dyDescent="0.25">
      <c r="A299" s="232">
        <v>45519</v>
      </c>
      <c r="B299" s="233" t="s">
        <v>304</v>
      </c>
      <c r="C299" s="234" t="s">
        <v>118</v>
      </c>
      <c r="D299" s="235">
        <v>4.4799999999999995</v>
      </c>
    </row>
    <row r="300" spans="1:4" x14ac:dyDescent="0.25">
      <c r="A300" s="232">
        <v>45519</v>
      </c>
      <c r="B300" s="233" t="s">
        <v>309</v>
      </c>
      <c r="C300" s="234" t="s">
        <v>4</v>
      </c>
      <c r="D300" s="235">
        <v>5.42</v>
      </c>
    </row>
    <row r="301" spans="1:4" x14ac:dyDescent="0.25">
      <c r="A301" s="232">
        <v>45519</v>
      </c>
      <c r="B301" s="233" t="s">
        <v>378</v>
      </c>
      <c r="C301" s="234" t="s">
        <v>117</v>
      </c>
      <c r="D301" s="235">
        <v>4.25</v>
      </c>
    </row>
    <row r="302" spans="1:4" x14ac:dyDescent="0.25">
      <c r="A302" s="232">
        <v>45519</v>
      </c>
      <c r="B302" s="233" t="s">
        <v>113</v>
      </c>
      <c r="C302" s="234" t="s">
        <v>134</v>
      </c>
      <c r="D302" s="235">
        <v>4.6399999999999997</v>
      </c>
    </row>
    <row r="303" spans="1:4" x14ac:dyDescent="0.25">
      <c r="A303" s="232">
        <v>45519</v>
      </c>
      <c r="B303" s="233" t="s">
        <v>114</v>
      </c>
      <c r="C303" s="234" t="s">
        <v>133</v>
      </c>
      <c r="D303" s="235">
        <v>1.8099999999999998</v>
      </c>
    </row>
    <row r="304" spans="1:4" x14ac:dyDescent="0.25">
      <c r="A304" s="232">
        <v>45519</v>
      </c>
      <c r="B304" s="233" t="s">
        <v>379</v>
      </c>
      <c r="C304" s="234" t="s">
        <v>127</v>
      </c>
      <c r="D304" s="235">
        <v>7.0549999999999997</v>
      </c>
    </row>
    <row r="305" spans="1:4" x14ac:dyDescent="0.25">
      <c r="A305" s="232">
        <v>45519</v>
      </c>
      <c r="B305" s="233" t="s">
        <v>380</v>
      </c>
      <c r="C305" s="234" t="s">
        <v>410</v>
      </c>
      <c r="D305" s="235">
        <v>6.5750000000000002</v>
      </c>
    </row>
    <row r="306" spans="1:4" x14ac:dyDescent="0.25">
      <c r="A306" s="232">
        <v>45535</v>
      </c>
      <c r="B306" s="233" t="s">
        <v>190</v>
      </c>
      <c r="C306" s="234" t="s">
        <v>203</v>
      </c>
      <c r="D306" s="235">
        <v>0</v>
      </c>
    </row>
    <row r="307" spans="1:4" x14ac:dyDescent="0.25">
      <c r="A307" s="232">
        <v>45535</v>
      </c>
      <c r="B307" s="233" t="s">
        <v>191</v>
      </c>
      <c r="C307" s="234" t="s">
        <v>204</v>
      </c>
      <c r="D307" s="235">
        <v>5.7850000000000001</v>
      </c>
    </row>
    <row r="308" spans="1:4" x14ac:dyDescent="0.25">
      <c r="A308" s="232">
        <v>45535</v>
      </c>
      <c r="B308" s="233" t="s">
        <v>185</v>
      </c>
      <c r="C308" s="234" t="s">
        <v>198</v>
      </c>
      <c r="D308" s="235">
        <v>4.335</v>
      </c>
    </row>
    <row r="309" spans="1:4" x14ac:dyDescent="0.25">
      <c r="A309" s="232">
        <v>45535</v>
      </c>
      <c r="B309" s="233" t="s">
        <v>184</v>
      </c>
      <c r="C309" s="234" t="s">
        <v>197</v>
      </c>
      <c r="D309" s="235">
        <v>0</v>
      </c>
    </row>
    <row r="310" spans="1:4" x14ac:dyDescent="0.25">
      <c r="A310" s="232">
        <v>45535</v>
      </c>
      <c r="B310" s="233" t="s">
        <v>194</v>
      </c>
      <c r="C310" s="234" t="s">
        <v>209</v>
      </c>
      <c r="D310" s="235">
        <v>1.2849999999999999</v>
      </c>
    </row>
    <row r="311" spans="1:4" x14ac:dyDescent="0.25">
      <c r="A311" s="232">
        <v>45535</v>
      </c>
      <c r="B311" s="233" t="s">
        <v>196</v>
      </c>
      <c r="C311" s="234" t="s">
        <v>208</v>
      </c>
      <c r="D311" s="235">
        <v>1.24</v>
      </c>
    </row>
    <row r="312" spans="1:4" x14ac:dyDescent="0.25">
      <c r="A312" s="232">
        <v>45535</v>
      </c>
      <c r="B312" s="233" t="s">
        <v>304</v>
      </c>
      <c r="C312" s="234" t="s">
        <v>118</v>
      </c>
      <c r="D312" s="235">
        <v>2.2350000000000003</v>
      </c>
    </row>
    <row r="313" spans="1:4" x14ac:dyDescent="0.25">
      <c r="A313" s="232">
        <v>45535</v>
      </c>
      <c r="B313" s="233" t="s">
        <v>309</v>
      </c>
      <c r="C313" s="234" t="s">
        <v>4</v>
      </c>
      <c r="D313" s="235">
        <v>4.1150000000000002</v>
      </c>
    </row>
    <row r="314" spans="1:4" x14ac:dyDescent="0.25">
      <c r="A314" s="232">
        <v>45535</v>
      </c>
      <c r="B314" s="233" t="s">
        <v>378</v>
      </c>
      <c r="C314" s="234" t="s">
        <v>117</v>
      </c>
      <c r="D314" s="235">
        <v>2.6749999999999998</v>
      </c>
    </row>
    <row r="315" spans="1:4" x14ac:dyDescent="0.25">
      <c r="A315" s="232">
        <v>45535</v>
      </c>
      <c r="B315" s="233" t="s">
        <v>113</v>
      </c>
      <c r="C315" s="234" t="s">
        <v>134</v>
      </c>
      <c r="D315" s="235">
        <v>3.5549999999999997</v>
      </c>
    </row>
    <row r="316" spans="1:4" x14ac:dyDescent="0.25">
      <c r="A316" s="232">
        <v>45535</v>
      </c>
      <c r="B316" s="233" t="s">
        <v>114</v>
      </c>
      <c r="C316" s="234" t="s">
        <v>133</v>
      </c>
      <c r="D316" s="235">
        <v>1.5549999999999999</v>
      </c>
    </row>
    <row r="317" spans="1:4" x14ac:dyDescent="0.25">
      <c r="A317" s="232">
        <v>45535</v>
      </c>
      <c r="B317" s="233" t="s">
        <v>379</v>
      </c>
      <c r="C317" s="234" t="s">
        <v>127</v>
      </c>
      <c r="D317" s="235">
        <v>5.41</v>
      </c>
    </row>
    <row r="318" spans="1:4" x14ac:dyDescent="0.25">
      <c r="A318" s="232">
        <v>45535</v>
      </c>
      <c r="B318" s="233" t="s">
        <v>380</v>
      </c>
      <c r="C318" s="234" t="s">
        <v>410</v>
      </c>
      <c r="D318" s="235">
        <v>5.9950000000000001</v>
      </c>
    </row>
    <row r="319" spans="1:4" x14ac:dyDescent="0.25">
      <c r="A319" s="232">
        <v>45550</v>
      </c>
      <c r="B319" s="233" t="s">
        <v>190</v>
      </c>
      <c r="C319" s="234" t="s">
        <v>203</v>
      </c>
      <c r="D319" s="235">
        <v>0</v>
      </c>
    </row>
    <row r="320" spans="1:4" x14ac:dyDescent="0.25">
      <c r="A320" s="232">
        <v>45550</v>
      </c>
      <c r="B320" s="233" t="s">
        <v>191</v>
      </c>
      <c r="C320" s="234" t="s">
        <v>204</v>
      </c>
      <c r="D320" s="235">
        <v>1.3299999999999998</v>
      </c>
    </row>
    <row r="321" spans="1:4" x14ac:dyDescent="0.25">
      <c r="A321" s="232">
        <v>45550</v>
      </c>
      <c r="B321" s="233" t="s">
        <v>185</v>
      </c>
      <c r="C321" s="234" t="s">
        <v>198</v>
      </c>
      <c r="D321" s="235">
        <v>3.9749999999999996</v>
      </c>
    </row>
    <row r="322" spans="1:4" x14ac:dyDescent="0.25">
      <c r="A322" s="232">
        <v>45550</v>
      </c>
      <c r="B322" s="233" t="s">
        <v>184</v>
      </c>
      <c r="C322" s="234" t="s">
        <v>197</v>
      </c>
      <c r="D322" s="235">
        <v>0</v>
      </c>
    </row>
    <row r="323" spans="1:4" x14ac:dyDescent="0.25">
      <c r="A323" s="232">
        <v>45550</v>
      </c>
      <c r="B323" s="233" t="s">
        <v>194</v>
      </c>
      <c r="C323" s="234" t="s">
        <v>209</v>
      </c>
      <c r="D323" s="235">
        <v>3.5649999999999995</v>
      </c>
    </row>
    <row r="324" spans="1:4" x14ac:dyDescent="0.25">
      <c r="A324" s="232">
        <v>45550</v>
      </c>
      <c r="B324" s="233" t="s">
        <v>196</v>
      </c>
      <c r="C324" s="234" t="s">
        <v>208</v>
      </c>
      <c r="D324" s="235">
        <v>1.45</v>
      </c>
    </row>
    <row r="325" spans="1:4" x14ac:dyDescent="0.25">
      <c r="A325" s="232">
        <v>45550</v>
      </c>
      <c r="B325" s="233" t="s">
        <v>304</v>
      </c>
      <c r="C325" s="234" t="s">
        <v>118</v>
      </c>
      <c r="D325" s="235">
        <v>2.2750000000000004</v>
      </c>
    </row>
    <row r="326" spans="1:4" x14ac:dyDescent="0.25">
      <c r="A326" s="232">
        <v>45550</v>
      </c>
      <c r="B326" s="233" t="s">
        <v>309</v>
      </c>
      <c r="C326" s="234" t="s">
        <v>4</v>
      </c>
      <c r="D326" s="235">
        <v>4.34</v>
      </c>
    </row>
    <row r="327" spans="1:4" x14ac:dyDescent="0.25">
      <c r="A327" s="232">
        <v>45550</v>
      </c>
      <c r="B327" s="233" t="s">
        <v>378</v>
      </c>
      <c r="C327" s="234" t="s">
        <v>117</v>
      </c>
      <c r="D327" s="235">
        <v>3.3449999999999998</v>
      </c>
    </row>
    <row r="328" spans="1:4" x14ac:dyDescent="0.25">
      <c r="A328" s="232">
        <v>45550</v>
      </c>
      <c r="B328" s="233" t="s">
        <v>113</v>
      </c>
      <c r="C328" s="234" t="s">
        <v>134</v>
      </c>
      <c r="D328" s="235">
        <v>2.3200000000000003</v>
      </c>
    </row>
    <row r="329" spans="1:4" x14ac:dyDescent="0.25">
      <c r="A329" s="232">
        <v>45550</v>
      </c>
      <c r="B329" s="233" t="s">
        <v>114</v>
      </c>
      <c r="C329" s="234" t="s">
        <v>133</v>
      </c>
      <c r="D329" s="235">
        <v>1.6700000000000002</v>
      </c>
    </row>
    <row r="330" spans="1:4" x14ac:dyDescent="0.25">
      <c r="A330" s="232">
        <v>45550</v>
      </c>
      <c r="B330" s="233" t="s">
        <v>379</v>
      </c>
      <c r="C330" s="234" t="s">
        <v>127</v>
      </c>
      <c r="D330" s="235">
        <v>5.4349999999999996</v>
      </c>
    </row>
    <row r="331" spans="1:4" x14ac:dyDescent="0.25">
      <c r="A331" s="232">
        <v>45550</v>
      </c>
      <c r="B331" s="233" t="s">
        <v>380</v>
      </c>
      <c r="C331" s="234" t="s">
        <v>410</v>
      </c>
      <c r="D331" s="235">
        <v>5.3</v>
      </c>
    </row>
    <row r="332" spans="1:4" x14ac:dyDescent="0.25">
      <c r="A332" s="232">
        <v>45565</v>
      </c>
      <c r="B332" s="233" t="s">
        <v>190</v>
      </c>
      <c r="C332" s="234" t="s">
        <v>203</v>
      </c>
      <c r="D332" s="235">
        <v>0</v>
      </c>
    </row>
    <row r="333" spans="1:4" x14ac:dyDescent="0.25">
      <c r="A333" s="232">
        <v>45565</v>
      </c>
      <c r="B333" s="233" t="s">
        <v>191</v>
      </c>
      <c r="C333" s="234" t="s">
        <v>204</v>
      </c>
      <c r="D333" s="235">
        <v>0</v>
      </c>
    </row>
    <row r="334" spans="1:4" x14ac:dyDescent="0.25">
      <c r="A334" s="232">
        <v>45565</v>
      </c>
      <c r="B334" s="233" t="s">
        <v>185</v>
      </c>
      <c r="C334" s="234" t="s">
        <v>198</v>
      </c>
      <c r="D334" s="235">
        <v>3.6349999999999998</v>
      </c>
    </row>
    <row r="335" spans="1:4" x14ac:dyDescent="0.25">
      <c r="A335" s="232">
        <v>45565</v>
      </c>
      <c r="B335" s="233" t="s">
        <v>184</v>
      </c>
      <c r="C335" s="234" t="s">
        <v>197</v>
      </c>
      <c r="D335" s="235">
        <v>0</v>
      </c>
    </row>
    <row r="336" spans="1:4" x14ac:dyDescent="0.25">
      <c r="A336" s="232">
        <v>45565</v>
      </c>
      <c r="B336" s="233" t="s">
        <v>194</v>
      </c>
      <c r="C336" s="234" t="s">
        <v>209</v>
      </c>
      <c r="D336" s="235">
        <v>3.3199999999999994</v>
      </c>
    </row>
    <row r="337" spans="1:4" x14ac:dyDescent="0.25">
      <c r="A337" s="232">
        <v>45565</v>
      </c>
      <c r="B337" s="233" t="s">
        <v>196</v>
      </c>
      <c r="C337" s="234" t="s">
        <v>208</v>
      </c>
      <c r="D337" s="235">
        <v>0</v>
      </c>
    </row>
    <row r="338" spans="1:4" x14ac:dyDescent="0.25">
      <c r="A338" s="232">
        <v>45565</v>
      </c>
      <c r="B338" s="233" t="s">
        <v>304</v>
      </c>
      <c r="C338" s="234" t="s">
        <v>118</v>
      </c>
      <c r="D338" s="235">
        <v>1.925</v>
      </c>
    </row>
    <row r="339" spans="1:4" x14ac:dyDescent="0.25">
      <c r="A339" s="232">
        <v>45565</v>
      </c>
      <c r="B339" s="233" t="s">
        <v>309</v>
      </c>
      <c r="C339" s="234" t="s">
        <v>4</v>
      </c>
      <c r="D339" s="235">
        <v>3.71</v>
      </c>
    </row>
    <row r="340" spans="1:4" x14ac:dyDescent="0.25">
      <c r="A340" s="232">
        <v>45565</v>
      </c>
      <c r="B340" s="233" t="s">
        <v>378</v>
      </c>
      <c r="C340" s="234" t="s">
        <v>117</v>
      </c>
      <c r="D340" s="235">
        <v>2.7350000000000003</v>
      </c>
    </row>
    <row r="341" spans="1:4" x14ac:dyDescent="0.25">
      <c r="A341" s="232">
        <v>45565</v>
      </c>
      <c r="B341" s="233" t="s">
        <v>113</v>
      </c>
      <c r="C341" s="234" t="s">
        <v>134</v>
      </c>
      <c r="D341" s="235">
        <v>2.04</v>
      </c>
    </row>
    <row r="342" spans="1:4" x14ac:dyDescent="0.25">
      <c r="A342" s="232">
        <v>45565</v>
      </c>
      <c r="B342" s="233" t="s">
        <v>114</v>
      </c>
      <c r="C342" s="234" t="s">
        <v>133</v>
      </c>
      <c r="D342" s="235">
        <v>0.88000000000000012</v>
      </c>
    </row>
    <row r="343" spans="1:4" x14ac:dyDescent="0.25">
      <c r="A343" s="232">
        <v>45565</v>
      </c>
      <c r="B343" s="233" t="s">
        <v>379</v>
      </c>
      <c r="C343" s="234" t="s">
        <v>127</v>
      </c>
      <c r="D343" s="235">
        <v>5.31</v>
      </c>
    </row>
    <row r="344" spans="1:4" x14ac:dyDescent="0.25">
      <c r="A344" s="232">
        <v>45565</v>
      </c>
      <c r="B344" s="233" t="s">
        <v>380</v>
      </c>
      <c r="C344" s="234" t="s">
        <v>410</v>
      </c>
      <c r="D344" s="235">
        <v>5.97</v>
      </c>
    </row>
    <row r="345" spans="1:4" x14ac:dyDescent="0.25">
      <c r="A345" s="232">
        <v>45580</v>
      </c>
      <c r="B345" s="233" t="s">
        <v>190</v>
      </c>
      <c r="C345" s="234" t="s">
        <v>203</v>
      </c>
      <c r="D345" s="235">
        <v>0</v>
      </c>
    </row>
    <row r="346" spans="1:4" x14ac:dyDescent="0.25">
      <c r="A346" s="232">
        <v>45580</v>
      </c>
      <c r="B346" s="233" t="s">
        <v>191</v>
      </c>
      <c r="C346" s="234" t="s">
        <v>204</v>
      </c>
      <c r="D346" s="235">
        <v>0</v>
      </c>
    </row>
    <row r="347" spans="1:4" x14ac:dyDescent="0.25">
      <c r="A347" s="232">
        <v>45580</v>
      </c>
      <c r="B347" s="233" t="s">
        <v>185</v>
      </c>
      <c r="C347" s="234" t="s">
        <v>198</v>
      </c>
      <c r="D347" s="235">
        <v>2.9400000000000004</v>
      </c>
    </row>
    <row r="348" spans="1:4" x14ac:dyDescent="0.25">
      <c r="A348" s="232">
        <v>45580</v>
      </c>
      <c r="B348" s="233" t="s">
        <v>184</v>
      </c>
      <c r="C348" s="234" t="s">
        <v>197</v>
      </c>
      <c r="D348" s="235">
        <v>0</v>
      </c>
    </row>
    <row r="349" spans="1:4" x14ac:dyDescent="0.25">
      <c r="A349" s="232">
        <v>45580</v>
      </c>
      <c r="B349" s="233" t="s">
        <v>194</v>
      </c>
      <c r="C349" s="234" t="s">
        <v>209</v>
      </c>
      <c r="D349" s="235">
        <v>2.8449999999999998</v>
      </c>
    </row>
    <row r="350" spans="1:4" x14ac:dyDescent="0.25">
      <c r="A350" s="232">
        <v>45580</v>
      </c>
      <c r="B350" s="233" t="s">
        <v>196</v>
      </c>
      <c r="C350" s="234" t="s">
        <v>208</v>
      </c>
      <c r="D350" s="235">
        <v>0</v>
      </c>
    </row>
    <row r="351" spans="1:4" x14ac:dyDescent="0.25">
      <c r="A351" s="232">
        <v>45580</v>
      </c>
      <c r="B351" s="233" t="s">
        <v>304</v>
      </c>
      <c r="C351" s="234" t="s">
        <v>118</v>
      </c>
      <c r="D351" s="235">
        <v>1.7350000000000001</v>
      </c>
    </row>
    <row r="352" spans="1:4" x14ac:dyDescent="0.25">
      <c r="A352" s="232">
        <v>45580</v>
      </c>
      <c r="B352" s="233" t="s">
        <v>309</v>
      </c>
      <c r="C352" s="234" t="s">
        <v>4</v>
      </c>
      <c r="D352" s="235">
        <v>2.59</v>
      </c>
    </row>
    <row r="353" spans="1:4" x14ac:dyDescent="0.25">
      <c r="A353" s="232">
        <v>45580</v>
      </c>
      <c r="B353" s="233" t="s">
        <v>378</v>
      </c>
      <c r="C353" s="234" t="s">
        <v>117</v>
      </c>
      <c r="D353" s="235">
        <v>1.5799999999999998</v>
      </c>
    </row>
    <row r="354" spans="1:4" x14ac:dyDescent="0.25">
      <c r="A354" s="232">
        <v>45580</v>
      </c>
      <c r="B354" s="233" t="s">
        <v>113</v>
      </c>
      <c r="C354" s="234" t="s">
        <v>134</v>
      </c>
      <c r="D354" s="235">
        <v>1.02</v>
      </c>
    </row>
    <row r="355" spans="1:4" x14ac:dyDescent="0.25">
      <c r="A355" s="232">
        <v>45580</v>
      </c>
      <c r="B355" s="233" t="s">
        <v>114</v>
      </c>
      <c r="C355" s="234" t="s">
        <v>133</v>
      </c>
      <c r="D355" s="235">
        <v>1.385</v>
      </c>
    </row>
    <row r="356" spans="1:4" x14ac:dyDescent="0.25">
      <c r="A356" s="232">
        <v>45580</v>
      </c>
      <c r="B356" s="233" t="s">
        <v>379</v>
      </c>
      <c r="C356" s="234" t="s">
        <v>127</v>
      </c>
      <c r="D356" s="235">
        <v>4.76</v>
      </c>
    </row>
    <row r="357" spans="1:4" x14ac:dyDescent="0.25">
      <c r="A357" s="232">
        <v>45580</v>
      </c>
      <c r="B357" s="233" t="s">
        <v>380</v>
      </c>
      <c r="C357" s="234" t="s">
        <v>410</v>
      </c>
      <c r="D357" s="235">
        <v>4.0449999999999999</v>
      </c>
    </row>
    <row r="358" spans="1:4" x14ac:dyDescent="0.25">
      <c r="A358" s="232">
        <v>45580</v>
      </c>
      <c r="B358" s="233" t="s">
        <v>457</v>
      </c>
      <c r="C358" s="234" t="s">
        <v>415</v>
      </c>
      <c r="D358" s="235">
        <v>5.9749999999999996</v>
      </c>
    </row>
    <row r="359" spans="1:4" x14ac:dyDescent="0.25">
      <c r="A359" s="232">
        <v>45595</v>
      </c>
      <c r="B359" s="233" t="s">
        <v>190</v>
      </c>
      <c r="C359" s="234" t="s">
        <v>203</v>
      </c>
      <c r="D359" s="235">
        <v>0</v>
      </c>
    </row>
    <row r="360" spans="1:4" x14ac:dyDescent="0.25">
      <c r="A360" s="232">
        <v>45595</v>
      </c>
      <c r="B360" s="233" t="s">
        <v>191</v>
      </c>
      <c r="C360" s="234" t="s">
        <v>204</v>
      </c>
      <c r="D360" s="235">
        <v>0</v>
      </c>
    </row>
    <row r="361" spans="1:4" x14ac:dyDescent="0.25">
      <c r="A361" s="232">
        <v>45595</v>
      </c>
      <c r="B361" s="233" t="s">
        <v>185</v>
      </c>
      <c r="C361" s="234" t="s">
        <v>198</v>
      </c>
      <c r="D361" s="235">
        <v>2.7</v>
      </c>
    </row>
    <row r="362" spans="1:4" x14ac:dyDescent="0.25">
      <c r="A362" s="232">
        <v>45595</v>
      </c>
      <c r="B362" s="233" t="s">
        <v>184</v>
      </c>
      <c r="C362" s="234" t="s">
        <v>197</v>
      </c>
      <c r="D362" s="235">
        <v>0</v>
      </c>
    </row>
    <row r="363" spans="1:4" x14ac:dyDescent="0.25">
      <c r="A363" s="232">
        <v>45595</v>
      </c>
      <c r="B363" s="233" t="s">
        <v>194</v>
      </c>
      <c r="C363" s="234" t="s">
        <v>209</v>
      </c>
      <c r="D363" s="235">
        <v>2.72</v>
      </c>
    </row>
    <row r="364" spans="1:4" x14ac:dyDescent="0.25">
      <c r="A364" s="232">
        <v>45595</v>
      </c>
      <c r="B364" s="233" t="s">
        <v>196</v>
      </c>
      <c r="C364" s="234" t="s">
        <v>208</v>
      </c>
      <c r="D364" s="235">
        <v>4.2649999999999997</v>
      </c>
    </row>
    <row r="365" spans="1:4" x14ac:dyDescent="0.25">
      <c r="A365" s="232">
        <v>45595</v>
      </c>
      <c r="B365" s="233" t="s">
        <v>304</v>
      </c>
      <c r="C365" s="234" t="s">
        <v>118</v>
      </c>
      <c r="D365" s="235">
        <v>1.6850000000000001</v>
      </c>
    </row>
    <row r="366" spans="1:4" x14ac:dyDescent="0.25">
      <c r="A366" s="232">
        <v>45595</v>
      </c>
      <c r="B366" s="233" t="s">
        <v>309</v>
      </c>
      <c r="C366" s="234" t="s">
        <v>4</v>
      </c>
      <c r="D366" s="235">
        <v>0.96</v>
      </c>
    </row>
    <row r="367" spans="1:4" x14ac:dyDescent="0.25">
      <c r="A367" s="232">
        <v>45595</v>
      </c>
      <c r="B367" s="233" t="s">
        <v>378</v>
      </c>
      <c r="C367" s="234" t="s">
        <v>117</v>
      </c>
      <c r="D367" s="235">
        <v>0</v>
      </c>
    </row>
    <row r="368" spans="1:4" x14ac:dyDescent="0.25">
      <c r="A368" s="232">
        <v>45595</v>
      </c>
      <c r="B368" s="233" t="s">
        <v>113</v>
      </c>
      <c r="C368" s="234" t="s">
        <v>134</v>
      </c>
      <c r="D368" s="235">
        <v>0</v>
      </c>
    </row>
    <row r="369" spans="1:4" x14ac:dyDescent="0.25">
      <c r="A369" s="232">
        <v>45595</v>
      </c>
      <c r="B369" s="233" t="s">
        <v>114</v>
      </c>
      <c r="C369" s="234" t="s">
        <v>133</v>
      </c>
      <c r="D369" s="235">
        <v>1.2350000000000001</v>
      </c>
    </row>
    <row r="370" spans="1:4" x14ac:dyDescent="0.25">
      <c r="A370" s="232">
        <v>45595</v>
      </c>
      <c r="B370" s="233" t="s">
        <v>379</v>
      </c>
      <c r="C370" s="234" t="s">
        <v>127</v>
      </c>
      <c r="D370" s="235">
        <v>4</v>
      </c>
    </row>
    <row r="371" spans="1:4" x14ac:dyDescent="0.25">
      <c r="A371" s="232">
        <v>45595</v>
      </c>
      <c r="B371" s="233" t="s">
        <v>380</v>
      </c>
      <c r="C371" s="234" t="s">
        <v>410</v>
      </c>
      <c r="D371" s="235">
        <v>4.43</v>
      </c>
    </row>
    <row r="372" spans="1:4" x14ac:dyDescent="0.25">
      <c r="A372" s="232">
        <v>45595</v>
      </c>
      <c r="B372" s="233" t="s">
        <v>457</v>
      </c>
      <c r="C372" s="234" t="s">
        <v>415</v>
      </c>
      <c r="D372" s="235">
        <v>5.0350000000000001</v>
      </c>
    </row>
    <row r="373" spans="1:4" x14ac:dyDescent="0.25">
      <c r="A373" s="232">
        <v>45611</v>
      </c>
      <c r="B373" s="233" t="s">
        <v>190</v>
      </c>
      <c r="C373" s="234" t="s">
        <v>203</v>
      </c>
      <c r="D373" s="235">
        <v>0</v>
      </c>
    </row>
    <row r="374" spans="1:4" x14ac:dyDescent="0.25">
      <c r="A374" s="232">
        <v>45611</v>
      </c>
      <c r="B374" s="233" t="s">
        <v>191</v>
      </c>
      <c r="C374" s="234" t="s">
        <v>204</v>
      </c>
      <c r="D374" s="235">
        <v>0</v>
      </c>
    </row>
    <row r="375" spans="1:4" x14ac:dyDescent="0.25">
      <c r="A375" s="232">
        <v>45611</v>
      </c>
      <c r="B375" s="233" t="s">
        <v>185</v>
      </c>
      <c r="C375" s="234" t="s">
        <v>198</v>
      </c>
      <c r="D375" s="235">
        <v>1.89</v>
      </c>
    </row>
    <row r="376" spans="1:4" x14ac:dyDescent="0.25">
      <c r="A376" s="232">
        <v>45611</v>
      </c>
      <c r="B376" s="233" t="s">
        <v>184</v>
      </c>
      <c r="C376" s="234" t="s">
        <v>197</v>
      </c>
      <c r="D376" s="235">
        <v>3.8050000000000002</v>
      </c>
    </row>
    <row r="377" spans="1:4" x14ac:dyDescent="0.25">
      <c r="A377" s="232">
        <v>45611</v>
      </c>
      <c r="B377" s="233" t="s">
        <v>194</v>
      </c>
      <c r="C377" s="234" t="s">
        <v>209</v>
      </c>
      <c r="D377" s="235">
        <v>0</v>
      </c>
    </row>
    <row r="378" spans="1:4" x14ac:dyDescent="0.25">
      <c r="A378" s="232">
        <v>45611</v>
      </c>
      <c r="B378" s="233" t="s">
        <v>196</v>
      </c>
      <c r="C378" s="234" t="s">
        <v>208</v>
      </c>
      <c r="D378" s="235">
        <v>3.4049999999999998</v>
      </c>
    </row>
    <row r="379" spans="1:4" x14ac:dyDescent="0.25">
      <c r="A379" s="232">
        <v>45611</v>
      </c>
      <c r="B379" s="233" t="s">
        <v>304</v>
      </c>
      <c r="C379" s="234" t="s">
        <v>118</v>
      </c>
      <c r="D379" s="235">
        <v>1.24</v>
      </c>
    </row>
    <row r="380" spans="1:4" x14ac:dyDescent="0.25">
      <c r="A380" s="232">
        <v>45611</v>
      </c>
      <c r="B380" s="233" t="s">
        <v>309</v>
      </c>
      <c r="C380" s="234" t="s">
        <v>4</v>
      </c>
      <c r="D380" s="235">
        <v>0</v>
      </c>
    </row>
    <row r="381" spans="1:4" x14ac:dyDescent="0.25">
      <c r="A381" s="232">
        <v>45611</v>
      </c>
      <c r="B381" s="233" t="s">
        <v>378</v>
      </c>
      <c r="C381" s="234" t="s">
        <v>117</v>
      </c>
      <c r="D381" s="235">
        <v>6.7750000000000004</v>
      </c>
    </row>
    <row r="382" spans="1:4" x14ac:dyDescent="0.25">
      <c r="A382" s="232">
        <v>45611</v>
      </c>
      <c r="B382" s="233" t="s">
        <v>113</v>
      </c>
      <c r="C382" s="234" t="s">
        <v>134</v>
      </c>
      <c r="D382" s="235">
        <v>0</v>
      </c>
    </row>
    <row r="383" spans="1:4" x14ac:dyDescent="0.25">
      <c r="A383" s="232">
        <v>45611</v>
      </c>
      <c r="B383" s="233" t="s">
        <v>114</v>
      </c>
      <c r="C383" s="234" t="s">
        <v>133</v>
      </c>
      <c r="D383" s="235">
        <v>1.08</v>
      </c>
    </row>
    <row r="384" spans="1:4" x14ac:dyDescent="0.25">
      <c r="A384" s="232">
        <v>45611</v>
      </c>
      <c r="B384" s="233" t="s">
        <v>379</v>
      </c>
      <c r="C384" s="234" t="s">
        <v>127</v>
      </c>
      <c r="D384" s="235">
        <v>3.65</v>
      </c>
    </row>
    <row r="385" spans="1:4" x14ac:dyDescent="0.25">
      <c r="A385" s="232">
        <v>45611</v>
      </c>
      <c r="B385" s="233" t="s">
        <v>380</v>
      </c>
      <c r="C385" s="234" t="s">
        <v>410</v>
      </c>
      <c r="D385" s="235">
        <v>4.4050000000000002</v>
      </c>
    </row>
    <row r="386" spans="1:4" x14ac:dyDescent="0.25">
      <c r="A386" s="232">
        <v>45611</v>
      </c>
      <c r="B386" s="233" t="s">
        <v>457</v>
      </c>
      <c r="C386" s="234" t="s">
        <v>415</v>
      </c>
      <c r="D386" s="235">
        <v>4.58</v>
      </c>
    </row>
    <row r="387" spans="1:4" x14ac:dyDescent="0.25">
      <c r="A387" s="232">
        <v>45626</v>
      </c>
      <c r="B387" s="233" t="s">
        <v>190</v>
      </c>
      <c r="C387" s="234" t="s">
        <v>203</v>
      </c>
      <c r="D387" s="235">
        <v>0</v>
      </c>
    </row>
    <row r="388" spans="1:4" x14ac:dyDescent="0.25">
      <c r="A388" s="232">
        <v>45626</v>
      </c>
      <c r="B388" s="233" t="s">
        <v>191</v>
      </c>
      <c r="C388" s="234" t="s">
        <v>204</v>
      </c>
      <c r="D388" s="235">
        <v>0</v>
      </c>
    </row>
    <row r="389" spans="1:4" x14ac:dyDescent="0.25">
      <c r="A389" s="232">
        <v>45626</v>
      </c>
      <c r="B389" s="233" t="s">
        <v>185</v>
      </c>
      <c r="C389" s="234" t="s">
        <v>198</v>
      </c>
      <c r="D389" s="235">
        <v>1.615</v>
      </c>
    </row>
    <row r="390" spans="1:4" x14ac:dyDescent="0.25">
      <c r="A390" s="232">
        <v>45626</v>
      </c>
      <c r="B390" s="233" t="s">
        <v>184</v>
      </c>
      <c r="C390" s="234" t="s">
        <v>197</v>
      </c>
      <c r="D390" s="235">
        <v>5.9749999999999996</v>
      </c>
    </row>
    <row r="391" spans="1:4" x14ac:dyDescent="0.25">
      <c r="A391" s="232">
        <v>45626</v>
      </c>
      <c r="B391" s="233" t="s">
        <v>194</v>
      </c>
      <c r="C391" s="234" t="s">
        <v>209</v>
      </c>
      <c r="D391" s="235">
        <v>0</v>
      </c>
    </row>
    <row r="392" spans="1:4" x14ac:dyDescent="0.25">
      <c r="A392" s="232">
        <v>45626</v>
      </c>
      <c r="B392" s="233" t="s">
        <v>196</v>
      </c>
      <c r="C392" s="234" t="s">
        <v>208</v>
      </c>
      <c r="D392" s="235">
        <v>3.96</v>
      </c>
    </row>
    <row r="393" spans="1:4" x14ac:dyDescent="0.25">
      <c r="A393" s="232">
        <v>45626</v>
      </c>
      <c r="B393" s="233" t="s">
        <v>304</v>
      </c>
      <c r="C393" s="234" t="s">
        <v>118</v>
      </c>
      <c r="D393" s="235">
        <v>2.14</v>
      </c>
    </row>
    <row r="394" spans="1:4" x14ac:dyDescent="0.25">
      <c r="A394" s="232">
        <v>45626</v>
      </c>
      <c r="B394" s="233" t="s">
        <v>309</v>
      </c>
      <c r="C394" s="234" t="s">
        <v>4</v>
      </c>
      <c r="D394" s="235">
        <v>0</v>
      </c>
    </row>
    <row r="395" spans="1:4" x14ac:dyDescent="0.25">
      <c r="A395" s="232">
        <v>45626</v>
      </c>
      <c r="B395" s="233" t="s">
        <v>378</v>
      </c>
      <c r="C395" s="234" t="s">
        <v>117</v>
      </c>
      <c r="D395" s="235">
        <v>6.51</v>
      </c>
    </row>
    <row r="396" spans="1:4" x14ac:dyDescent="0.25">
      <c r="A396" s="232">
        <v>45626</v>
      </c>
      <c r="B396" s="233" t="s">
        <v>113</v>
      </c>
      <c r="C396" s="234" t="s">
        <v>134</v>
      </c>
      <c r="D396" s="235">
        <v>0</v>
      </c>
    </row>
    <row r="397" spans="1:4" x14ac:dyDescent="0.25">
      <c r="A397" s="232">
        <v>45626</v>
      </c>
      <c r="B397" s="233" t="s">
        <v>114</v>
      </c>
      <c r="C397" s="234" t="s">
        <v>133</v>
      </c>
      <c r="D397" s="235">
        <v>0</v>
      </c>
    </row>
    <row r="398" spans="1:4" x14ac:dyDescent="0.25">
      <c r="A398" s="232">
        <v>45626</v>
      </c>
      <c r="B398" s="233" t="s">
        <v>379</v>
      </c>
      <c r="C398" s="234" t="s">
        <v>127</v>
      </c>
      <c r="D398" s="235">
        <v>3.37</v>
      </c>
    </row>
    <row r="399" spans="1:4" x14ac:dyDescent="0.25">
      <c r="A399" s="232">
        <v>45626</v>
      </c>
      <c r="B399" s="233" t="s">
        <v>380</v>
      </c>
      <c r="C399" s="234" t="s">
        <v>410</v>
      </c>
      <c r="D399" s="235">
        <v>4.4000000000000004</v>
      </c>
    </row>
    <row r="400" spans="1:4" x14ac:dyDescent="0.25">
      <c r="A400" s="232">
        <v>45626</v>
      </c>
      <c r="B400" s="233" t="s">
        <v>457</v>
      </c>
      <c r="C400" s="234" t="s">
        <v>415</v>
      </c>
      <c r="D400" s="235">
        <v>3.8149999999999999</v>
      </c>
    </row>
    <row r="401" spans="1:4" x14ac:dyDescent="0.25">
      <c r="A401" s="232">
        <v>45641</v>
      </c>
      <c r="B401" s="233" t="s">
        <v>190</v>
      </c>
      <c r="C401" s="234" t="s">
        <v>203</v>
      </c>
      <c r="D401" s="235">
        <v>6.15</v>
      </c>
    </row>
    <row r="402" spans="1:4" x14ac:dyDescent="0.25">
      <c r="A402" s="232">
        <v>45641</v>
      </c>
      <c r="B402" s="233" t="s">
        <v>191</v>
      </c>
      <c r="C402" s="234" t="s">
        <v>204</v>
      </c>
      <c r="D402" s="235">
        <v>0</v>
      </c>
    </row>
    <row r="403" spans="1:4" x14ac:dyDescent="0.25">
      <c r="A403" s="232">
        <v>45641</v>
      </c>
      <c r="B403" s="233" t="s">
        <v>185</v>
      </c>
      <c r="C403" s="234" t="s">
        <v>198</v>
      </c>
      <c r="D403" s="235">
        <v>0.85499999999999998</v>
      </c>
    </row>
    <row r="404" spans="1:4" x14ac:dyDescent="0.25">
      <c r="A404" s="232">
        <v>45641</v>
      </c>
      <c r="B404" s="233" t="s">
        <v>184</v>
      </c>
      <c r="C404" s="234" t="s">
        <v>197</v>
      </c>
      <c r="D404" s="235">
        <v>6.49</v>
      </c>
    </row>
    <row r="405" spans="1:4" x14ac:dyDescent="0.25">
      <c r="A405" s="232">
        <v>45641</v>
      </c>
      <c r="B405" s="233" t="s">
        <v>194</v>
      </c>
      <c r="C405" s="234" t="s">
        <v>209</v>
      </c>
      <c r="D405" s="235">
        <v>0</v>
      </c>
    </row>
    <row r="406" spans="1:4" x14ac:dyDescent="0.25">
      <c r="A406" s="232">
        <v>45641</v>
      </c>
      <c r="B406" s="233" t="s">
        <v>196</v>
      </c>
      <c r="C406" s="234" t="s">
        <v>208</v>
      </c>
      <c r="D406" s="235">
        <v>4.0350000000000001</v>
      </c>
    </row>
    <row r="407" spans="1:4" x14ac:dyDescent="0.25">
      <c r="A407" s="232">
        <v>45641</v>
      </c>
      <c r="B407" s="233" t="s">
        <v>309</v>
      </c>
      <c r="C407" s="234" t="s">
        <v>4</v>
      </c>
      <c r="D407" s="235">
        <v>4.96</v>
      </c>
    </row>
    <row r="408" spans="1:4" x14ac:dyDescent="0.25">
      <c r="A408" s="232">
        <v>45641</v>
      </c>
      <c r="B408" s="233" t="s">
        <v>378</v>
      </c>
      <c r="C408" s="234" t="s">
        <v>117</v>
      </c>
      <c r="D408" s="235">
        <v>6.1950000000000003</v>
      </c>
    </row>
    <row r="409" spans="1:4" x14ac:dyDescent="0.25">
      <c r="A409" s="232">
        <v>45641</v>
      </c>
      <c r="B409" s="233" t="s">
        <v>380</v>
      </c>
      <c r="C409" s="234" t="s">
        <v>410</v>
      </c>
      <c r="D409" s="235">
        <v>4.1449999999999996</v>
      </c>
    </row>
    <row r="410" spans="1:4" x14ac:dyDescent="0.25">
      <c r="A410" s="232">
        <v>45641</v>
      </c>
      <c r="B410" s="233" t="s">
        <v>457</v>
      </c>
      <c r="C410" s="234" t="s">
        <v>415</v>
      </c>
      <c r="D410" s="235">
        <v>4.665</v>
      </c>
    </row>
    <row r="411" spans="1:4" x14ac:dyDescent="0.25">
      <c r="A411" s="232">
        <v>45641</v>
      </c>
      <c r="B411" s="233" t="s">
        <v>379</v>
      </c>
      <c r="C411" s="234" t="s">
        <v>127</v>
      </c>
      <c r="D411" s="235">
        <v>3.26</v>
      </c>
    </row>
    <row r="412" spans="1:4" x14ac:dyDescent="0.25">
      <c r="A412" s="232">
        <v>45656</v>
      </c>
      <c r="B412" s="233" t="s">
        <v>304</v>
      </c>
      <c r="C412" s="234" t="s">
        <v>118</v>
      </c>
      <c r="D412" s="235">
        <v>7.335</v>
      </c>
    </row>
    <row r="413" spans="1:4" x14ac:dyDescent="0.25">
      <c r="A413" s="232">
        <v>45656</v>
      </c>
      <c r="B413" s="233" t="s">
        <v>309</v>
      </c>
      <c r="C413" s="234" t="s">
        <v>4</v>
      </c>
      <c r="D413" s="235">
        <v>8.4350000000000005</v>
      </c>
    </row>
    <row r="414" spans="1:4" x14ac:dyDescent="0.25">
      <c r="A414" s="232">
        <v>45656</v>
      </c>
      <c r="B414" s="233" t="s">
        <v>378</v>
      </c>
      <c r="C414" s="234" t="s">
        <v>117</v>
      </c>
      <c r="D414" s="235">
        <v>6.5449999999999999</v>
      </c>
    </row>
    <row r="415" spans="1:4" x14ac:dyDescent="0.25">
      <c r="A415" s="232">
        <v>45656</v>
      </c>
      <c r="B415" s="233" t="s">
        <v>113</v>
      </c>
      <c r="C415" s="234" t="s">
        <v>134</v>
      </c>
      <c r="D415" s="235">
        <v>0</v>
      </c>
    </row>
    <row r="416" spans="1:4" x14ac:dyDescent="0.25">
      <c r="A416" s="232">
        <v>45656</v>
      </c>
      <c r="B416" s="233" t="s">
        <v>114</v>
      </c>
      <c r="C416" s="234" t="s">
        <v>133</v>
      </c>
      <c r="D416" s="235">
        <v>0</v>
      </c>
    </row>
    <row r="417" spans="1:4" x14ac:dyDescent="0.25">
      <c r="A417" s="232">
        <v>45656</v>
      </c>
      <c r="B417" s="233" t="s">
        <v>379</v>
      </c>
      <c r="C417" s="234" t="s">
        <v>127</v>
      </c>
      <c r="D417" s="235">
        <v>2.915</v>
      </c>
    </row>
    <row r="418" spans="1:4" x14ac:dyDescent="0.25">
      <c r="A418" s="232">
        <v>45656</v>
      </c>
      <c r="B418" s="233" t="s">
        <v>380</v>
      </c>
      <c r="C418" s="234" t="s">
        <v>410</v>
      </c>
      <c r="D418" s="235">
        <v>4.04</v>
      </c>
    </row>
    <row r="419" spans="1:4" x14ac:dyDescent="0.25">
      <c r="A419" s="232">
        <v>45656</v>
      </c>
      <c r="B419" s="233" t="s">
        <v>457</v>
      </c>
      <c r="C419" s="234" t="s">
        <v>415</v>
      </c>
      <c r="D419" s="235">
        <v>3.46</v>
      </c>
    </row>
    <row r="420" spans="1:4" x14ac:dyDescent="0.25">
      <c r="A420" s="232">
        <v>45656</v>
      </c>
      <c r="B420" s="233" t="s">
        <v>190</v>
      </c>
      <c r="C420" s="234" t="s">
        <v>203</v>
      </c>
      <c r="D420" s="235">
        <v>5.6449999999999996</v>
      </c>
    </row>
    <row r="421" spans="1:4" x14ac:dyDescent="0.25">
      <c r="A421" s="232">
        <v>45656</v>
      </c>
      <c r="B421" s="233" t="s">
        <v>191</v>
      </c>
      <c r="C421" s="234" t="s">
        <v>204</v>
      </c>
      <c r="D421" s="235">
        <v>3.6949999999999998</v>
      </c>
    </row>
    <row r="422" spans="1:4" x14ac:dyDescent="0.25">
      <c r="A422" s="232">
        <v>45656</v>
      </c>
      <c r="B422" s="233" t="s">
        <v>185</v>
      </c>
      <c r="C422" s="234" t="s">
        <v>198</v>
      </c>
      <c r="D422" s="235">
        <v>0</v>
      </c>
    </row>
    <row r="423" spans="1:4" x14ac:dyDescent="0.25">
      <c r="A423" s="232">
        <v>45656</v>
      </c>
      <c r="B423" s="233" t="s">
        <v>184</v>
      </c>
      <c r="C423" s="234" t="s">
        <v>197</v>
      </c>
      <c r="D423" s="235">
        <v>6.5149999999999997</v>
      </c>
    </row>
    <row r="424" spans="1:4" x14ac:dyDescent="0.25">
      <c r="A424" s="232">
        <v>45656</v>
      </c>
      <c r="B424" s="233" t="s">
        <v>194</v>
      </c>
      <c r="C424" s="234" t="s">
        <v>209</v>
      </c>
      <c r="D424" s="235">
        <v>1.405</v>
      </c>
    </row>
    <row r="425" spans="1:4" x14ac:dyDescent="0.25">
      <c r="A425" s="232">
        <v>45656</v>
      </c>
      <c r="B425" s="233" t="s">
        <v>196</v>
      </c>
      <c r="C425" s="234" t="s">
        <v>208</v>
      </c>
      <c r="D425" s="235">
        <v>3.7949999999999999</v>
      </c>
    </row>
    <row r="426" spans="1:4" x14ac:dyDescent="0.25">
      <c r="A426" s="232">
        <v>45672</v>
      </c>
      <c r="B426" s="233" t="s">
        <v>304</v>
      </c>
      <c r="C426" s="234" t="s">
        <v>118</v>
      </c>
      <c r="D426" s="235">
        <v>7.335</v>
      </c>
    </row>
    <row r="427" spans="1:4" x14ac:dyDescent="0.25">
      <c r="A427" s="232">
        <v>45672</v>
      </c>
      <c r="B427" s="233" t="s">
        <v>309</v>
      </c>
      <c r="C427" s="234" t="s">
        <v>4</v>
      </c>
      <c r="D427" s="235">
        <v>11.135</v>
      </c>
    </row>
    <row r="428" spans="1:4" x14ac:dyDescent="0.25">
      <c r="A428" s="232">
        <v>45672</v>
      </c>
      <c r="B428" s="233" t="s">
        <v>378</v>
      </c>
      <c r="C428" s="234" t="s">
        <v>117</v>
      </c>
      <c r="D428" s="235">
        <v>6.66</v>
      </c>
    </row>
    <row r="429" spans="1:4" x14ac:dyDescent="0.25">
      <c r="A429" s="232">
        <v>45672</v>
      </c>
      <c r="B429" s="233" t="s">
        <v>113</v>
      </c>
      <c r="C429" s="234" t="s">
        <v>134</v>
      </c>
      <c r="D429" s="235">
        <v>0</v>
      </c>
    </row>
    <row r="430" spans="1:4" x14ac:dyDescent="0.25">
      <c r="A430" s="232">
        <v>45672</v>
      </c>
      <c r="B430" s="233" t="s">
        <v>114</v>
      </c>
      <c r="C430" s="234" t="s">
        <v>133</v>
      </c>
      <c r="D430" s="235">
        <v>0</v>
      </c>
    </row>
    <row r="431" spans="1:4" x14ac:dyDescent="0.25">
      <c r="A431" s="232">
        <v>45672</v>
      </c>
      <c r="B431" s="233" t="s">
        <v>379</v>
      </c>
      <c r="C431" s="234" t="s">
        <v>127</v>
      </c>
      <c r="D431" s="235">
        <v>2.75</v>
      </c>
    </row>
    <row r="432" spans="1:4" x14ac:dyDescent="0.25">
      <c r="A432" s="232">
        <v>45672</v>
      </c>
      <c r="B432" s="233" t="s">
        <v>380</v>
      </c>
      <c r="C432" s="234" t="s">
        <v>410</v>
      </c>
      <c r="D432" s="235">
        <v>4.51</v>
      </c>
    </row>
    <row r="433" spans="1:8" x14ac:dyDescent="0.25">
      <c r="A433" s="232">
        <v>45672</v>
      </c>
      <c r="B433" s="233" t="s">
        <v>457</v>
      </c>
      <c r="C433" s="234" t="s">
        <v>415</v>
      </c>
      <c r="D433" s="235">
        <v>3.55</v>
      </c>
    </row>
    <row r="434" spans="1:8" x14ac:dyDescent="0.25">
      <c r="A434" s="232">
        <v>45672</v>
      </c>
      <c r="B434" s="233" t="s">
        <v>190</v>
      </c>
      <c r="C434" s="234" t="s">
        <v>203</v>
      </c>
      <c r="D434" s="235">
        <v>4.05</v>
      </c>
      <c r="F434" s="119">
        <f>SUM(D426:D439)</f>
        <v>59.569999999999993</v>
      </c>
      <c r="G434" s="1" t="s">
        <v>641</v>
      </c>
      <c r="H434" s="1">
        <v>1.7</v>
      </c>
    </row>
    <row r="435" spans="1:8" x14ac:dyDescent="0.25">
      <c r="A435" s="232">
        <v>45672</v>
      </c>
      <c r="B435" s="233" t="s">
        <v>191</v>
      </c>
      <c r="C435" s="234" t="s">
        <v>204</v>
      </c>
      <c r="D435" s="235">
        <v>6.55</v>
      </c>
      <c r="F435" s="119"/>
      <c r="H435" s="119"/>
    </row>
    <row r="436" spans="1:8" x14ac:dyDescent="0.25">
      <c r="A436" s="232">
        <v>45672</v>
      </c>
      <c r="B436" s="233" t="s">
        <v>185</v>
      </c>
      <c r="C436" s="234" t="s">
        <v>198</v>
      </c>
      <c r="D436" s="235">
        <v>0</v>
      </c>
      <c r="F436" s="119"/>
      <c r="H436" s="119"/>
    </row>
    <row r="437" spans="1:8" x14ac:dyDescent="0.25">
      <c r="A437" s="232">
        <v>45672</v>
      </c>
      <c r="B437" s="233" t="s">
        <v>184</v>
      </c>
      <c r="C437" s="234" t="s">
        <v>197</v>
      </c>
      <c r="D437" s="235">
        <v>6.73</v>
      </c>
      <c r="F437" s="119"/>
      <c r="H437" s="119"/>
    </row>
    <row r="438" spans="1:8" x14ac:dyDescent="0.25">
      <c r="A438" s="232">
        <v>45672</v>
      </c>
      <c r="B438" s="233" t="s">
        <v>194</v>
      </c>
      <c r="C438" s="234" t="s">
        <v>209</v>
      </c>
      <c r="D438" s="235">
        <v>2.19</v>
      </c>
      <c r="F438" s="119"/>
      <c r="H438" s="119"/>
    </row>
    <row r="439" spans="1:8" x14ac:dyDescent="0.25">
      <c r="A439" s="232">
        <v>45672</v>
      </c>
      <c r="B439" s="233" t="s">
        <v>196</v>
      </c>
      <c r="C439" s="234" t="s">
        <v>208</v>
      </c>
      <c r="D439" s="235">
        <v>4.1100000000000003</v>
      </c>
      <c r="F439" s="119"/>
      <c r="H439" s="119"/>
    </row>
    <row r="440" spans="1:8" x14ac:dyDescent="0.25">
      <c r="A440" s="232">
        <v>45687</v>
      </c>
      <c r="B440" s="233" t="s">
        <v>304</v>
      </c>
      <c r="C440" s="234" t="s">
        <v>118</v>
      </c>
      <c r="D440" s="235">
        <v>8.2100000000000009</v>
      </c>
      <c r="F440" s="119"/>
      <c r="H440" s="119"/>
    </row>
    <row r="441" spans="1:8" x14ac:dyDescent="0.25">
      <c r="A441" s="232">
        <v>45687</v>
      </c>
      <c r="B441" s="233" t="s">
        <v>309</v>
      </c>
      <c r="C441" s="234" t="s">
        <v>4</v>
      </c>
      <c r="D441" s="235">
        <v>11.085000000000001</v>
      </c>
      <c r="F441" s="119"/>
      <c r="H441" s="119"/>
    </row>
    <row r="442" spans="1:8" x14ac:dyDescent="0.25">
      <c r="A442" s="232">
        <v>45687</v>
      </c>
      <c r="B442" s="233" t="s">
        <v>378</v>
      </c>
      <c r="C442" s="234" t="s">
        <v>117</v>
      </c>
      <c r="D442" s="235">
        <v>7.65</v>
      </c>
      <c r="F442" s="119"/>
      <c r="H442" s="119"/>
    </row>
    <row r="443" spans="1:8" x14ac:dyDescent="0.25">
      <c r="A443" s="232">
        <v>45687</v>
      </c>
      <c r="B443" s="233" t="s">
        <v>113</v>
      </c>
      <c r="C443" s="234" t="s">
        <v>134</v>
      </c>
      <c r="D443" s="235">
        <v>6.45</v>
      </c>
      <c r="F443" s="119"/>
      <c r="H443" s="119"/>
    </row>
    <row r="444" spans="1:8" x14ac:dyDescent="0.25">
      <c r="A444" s="232">
        <v>45687</v>
      </c>
      <c r="B444" s="233" t="s">
        <v>114</v>
      </c>
      <c r="C444" s="234" t="s">
        <v>133</v>
      </c>
      <c r="D444" s="235">
        <v>0</v>
      </c>
      <c r="F444" s="119"/>
      <c r="H444" s="119"/>
    </row>
    <row r="445" spans="1:8" x14ac:dyDescent="0.25">
      <c r="A445" s="232">
        <v>45687</v>
      </c>
      <c r="B445" s="233" t="s">
        <v>379</v>
      </c>
      <c r="C445" s="234" t="s">
        <v>127</v>
      </c>
      <c r="D445" s="235">
        <v>0</v>
      </c>
      <c r="F445" s="119"/>
      <c r="H445" s="119"/>
    </row>
    <row r="446" spans="1:8" x14ac:dyDescent="0.25">
      <c r="A446" s="232">
        <v>45687</v>
      </c>
      <c r="B446" s="233" t="s">
        <v>380</v>
      </c>
      <c r="C446" s="234" t="s">
        <v>410</v>
      </c>
      <c r="D446" s="235">
        <v>4.41</v>
      </c>
      <c r="F446" s="119"/>
      <c r="H446" s="119"/>
    </row>
    <row r="447" spans="1:8" x14ac:dyDescent="0.25">
      <c r="A447" s="232">
        <v>45687</v>
      </c>
      <c r="B447" s="233" t="s">
        <v>457</v>
      </c>
      <c r="C447" s="234" t="s">
        <v>415</v>
      </c>
      <c r="D447" s="235">
        <v>4.76</v>
      </c>
      <c r="F447" s="119"/>
      <c r="H447" s="119"/>
    </row>
    <row r="448" spans="1:8" x14ac:dyDescent="0.25">
      <c r="A448" s="232">
        <v>45687</v>
      </c>
      <c r="B448" s="233" t="s">
        <v>190</v>
      </c>
      <c r="C448" s="234" t="s">
        <v>203</v>
      </c>
      <c r="D448" s="235">
        <v>7.415</v>
      </c>
      <c r="F448" s="119">
        <f>SUM(D440:D453)</f>
        <v>69.540000000000006</v>
      </c>
      <c r="G448" s="1" t="s">
        <v>641</v>
      </c>
      <c r="H448" s="119">
        <v>5.5</v>
      </c>
    </row>
    <row r="449" spans="1:10" x14ac:dyDescent="0.25">
      <c r="A449" s="232">
        <v>45687</v>
      </c>
      <c r="B449" s="233" t="s">
        <v>191</v>
      </c>
      <c r="C449" s="234" t="s">
        <v>204</v>
      </c>
      <c r="D449" s="235">
        <v>5.0350000000000001</v>
      </c>
      <c r="F449" s="119"/>
      <c r="H449" s="119"/>
    </row>
    <row r="450" spans="1:10" x14ac:dyDescent="0.25">
      <c r="A450" s="232">
        <v>45687</v>
      </c>
      <c r="B450" s="233" t="s">
        <v>185</v>
      </c>
      <c r="C450" s="234" t="s">
        <v>198</v>
      </c>
      <c r="D450" s="235">
        <v>0</v>
      </c>
      <c r="F450" s="119"/>
      <c r="H450" s="119"/>
    </row>
    <row r="451" spans="1:10" x14ac:dyDescent="0.25">
      <c r="A451" s="232">
        <v>45687</v>
      </c>
      <c r="B451" s="233" t="s">
        <v>184</v>
      </c>
      <c r="C451" s="234" t="s">
        <v>197</v>
      </c>
      <c r="D451" s="235">
        <v>7.36</v>
      </c>
      <c r="F451" s="119"/>
      <c r="G451" s="494"/>
      <c r="H451" s="495"/>
      <c r="I451" s="496"/>
      <c r="J451" s="497"/>
    </row>
    <row r="452" spans="1:10" x14ac:dyDescent="0.25">
      <c r="A452" s="232">
        <v>45687</v>
      </c>
      <c r="B452" s="233" t="s">
        <v>194</v>
      </c>
      <c r="C452" s="234" t="s">
        <v>209</v>
      </c>
      <c r="D452" s="235">
        <v>3.1349999999999998</v>
      </c>
      <c r="F452" s="119"/>
      <c r="H452" s="119"/>
    </row>
    <row r="453" spans="1:10" x14ac:dyDescent="0.25">
      <c r="A453" s="232">
        <v>45687</v>
      </c>
      <c r="B453" s="233" t="s">
        <v>196</v>
      </c>
      <c r="C453" s="234" t="s">
        <v>208</v>
      </c>
      <c r="D453" s="235">
        <v>4.03</v>
      </c>
      <c r="F453" s="119"/>
      <c r="H453" s="119"/>
    </row>
    <row r="454" spans="1:10" x14ac:dyDescent="0.25">
      <c r="A454" s="232">
        <v>45703</v>
      </c>
      <c r="B454" s="233" t="s">
        <v>304</v>
      </c>
      <c r="C454" s="234" t="s">
        <v>118</v>
      </c>
      <c r="D454" s="235">
        <v>6.16</v>
      </c>
      <c r="F454" s="119"/>
      <c r="H454" s="119"/>
    </row>
    <row r="455" spans="1:10" x14ac:dyDescent="0.25">
      <c r="A455" s="232">
        <v>45703</v>
      </c>
      <c r="B455" s="233" t="s">
        <v>309</v>
      </c>
      <c r="C455" s="234" t="s">
        <v>4</v>
      </c>
      <c r="D455" s="235">
        <v>9.375</v>
      </c>
      <c r="F455" s="119"/>
      <c r="H455" s="119"/>
    </row>
    <row r="456" spans="1:10" x14ac:dyDescent="0.25">
      <c r="A456" s="232">
        <v>45703</v>
      </c>
      <c r="B456" s="233" t="s">
        <v>378</v>
      </c>
      <c r="C456" s="234" t="s">
        <v>117</v>
      </c>
      <c r="D456" s="235">
        <v>6.0449999999999999</v>
      </c>
      <c r="F456" s="119"/>
      <c r="H456" s="119"/>
    </row>
    <row r="457" spans="1:10" x14ac:dyDescent="0.25">
      <c r="A457" s="232">
        <v>45703</v>
      </c>
      <c r="B457" s="233" t="s">
        <v>113</v>
      </c>
      <c r="C457" s="234" t="s">
        <v>134</v>
      </c>
      <c r="D457" s="235">
        <v>5</v>
      </c>
      <c r="F457" s="119"/>
      <c r="H457" s="119"/>
    </row>
    <row r="458" spans="1:10" x14ac:dyDescent="0.25">
      <c r="A458" s="232">
        <v>45703</v>
      </c>
      <c r="B458" s="233" t="s">
        <v>114</v>
      </c>
      <c r="C458" s="234" t="s">
        <v>133</v>
      </c>
      <c r="D458" s="235">
        <v>0</v>
      </c>
      <c r="F458" s="119"/>
      <c r="H458" s="119"/>
    </row>
    <row r="459" spans="1:10" x14ac:dyDescent="0.25">
      <c r="A459" s="232">
        <v>45703</v>
      </c>
      <c r="B459" s="233" t="s">
        <v>379</v>
      </c>
      <c r="C459" s="234" t="s">
        <v>127</v>
      </c>
      <c r="D459" s="235">
        <v>2</v>
      </c>
      <c r="F459" s="119"/>
      <c r="H459" s="119"/>
    </row>
    <row r="460" spans="1:10" x14ac:dyDescent="0.25">
      <c r="A460" s="232">
        <v>45703</v>
      </c>
      <c r="B460" s="233" t="s">
        <v>380</v>
      </c>
      <c r="C460" s="234" t="s">
        <v>410</v>
      </c>
      <c r="D460" s="235">
        <v>3.9449999999999998</v>
      </c>
      <c r="F460" s="119"/>
      <c r="H460" s="119"/>
    </row>
    <row r="461" spans="1:10" x14ac:dyDescent="0.25">
      <c r="A461" s="232">
        <v>45703</v>
      </c>
      <c r="B461" s="233" t="s">
        <v>457</v>
      </c>
      <c r="C461" s="234" t="s">
        <v>415</v>
      </c>
      <c r="D461" s="235">
        <v>3.12</v>
      </c>
      <c r="F461" s="119"/>
      <c r="H461" s="119"/>
    </row>
    <row r="462" spans="1:10" x14ac:dyDescent="0.25">
      <c r="A462" s="232">
        <v>45703</v>
      </c>
      <c r="B462" s="233" t="s">
        <v>190</v>
      </c>
      <c r="C462" s="234" t="s">
        <v>203</v>
      </c>
      <c r="D462" s="235">
        <v>6.2249999999999996</v>
      </c>
      <c r="F462" s="119"/>
      <c r="G462" s="1" t="s">
        <v>641</v>
      </c>
      <c r="H462" s="119">
        <v>4.8099999999999996</v>
      </c>
    </row>
    <row r="463" spans="1:10" x14ac:dyDescent="0.25">
      <c r="A463" s="232">
        <v>45703</v>
      </c>
      <c r="B463" s="233" t="s">
        <v>191</v>
      </c>
      <c r="C463" s="234" t="s">
        <v>204</v>
      </c>
      <c r="D463" s="235">
        <v>4.3099999999999996</v>
      </c>
      <c r="F463" s="119"/>
      <c r="H463" s="119"/>
    </row>
    <row r="464" spans="1:10" x14ac:dyDescent="0.25">
      <c r="A464" s="232">
        <v>45703</v>
      </c>
      <c r="B464" s="233" t="s">
        <v>185</v>
      </c>
      <c r="C464" s="234" t="s">
        <v>198</v>
      </c>
      <c r="D464" s="235">
        <v>0</v>
      </c>
      <c r="F464" s="119"/>
      <c r="H464" s="119"/>
    </row>
    <row r="465" spans="1:8" x14ac:dyDescent="0.25">
      <c r="A465" s="232">
        <v>45703</v>
      </c>
      <c r="B465" s="233" t="s">
        <v>184</v>
      </c>
      <c r="C465" s="234" t="s">
        <v>197</v>
      </c>
      <c r="D465" s="235">
        <v>4.2</v>
      </c>
      <c r="F465" s="119"/>
      <c r="H465" s="119"/>
    </row>
    <row r="466" spans="1:8" x14ac:dyDescent="0.25">
      <c r="A466" s="232">
        <v>45703</v>
      </c>
      <c r="B466" s="233" t="s">
        <v>194</v>
      </c>
      <c r="C466" s="234" t="s">
        <v>209</v>
      </c>
      <c r="D466" s="235">
        <v>1.98</v>
      </c>
      <c r="F466" s="119"/>
      <c r="H466" s="119"/>
    </row>
    <row r="467" spans="1:8" x14ac:dyDescent="0.25">
      <c r="A467" s="232">
        <v>45703</v>
      </c>
      <c r="B467" s="233" t="s">
        <v>196</v>
      </c>
      <c r="C467" s="234" t="s">
        <v>208</v>
      </c>
      <c r="D467" s="235">
        <v>2.61</v>
      </c>
      <c r="F467" s="119"/>
      <c r="H467" s="119"/>
    </row>
    <row r="468" spans="1:8" x14ac:dyDescent="0.25">
      <c r="A468" s="232">
        <v>45717</v>
      </c>
      <c r="B468" s="233" t="s">
        <v>304</v>
      </c>
      <c r="C468" s="234" t="s">
        <v>118</v>
      </c>
      <c r="D468" s="235">
        <v>5.2350000000000003</v>
      </c>
      <c r="F468" s="119"/>
      <c r="H468" s="119"/>
    </row>
    <row r="469" spans="1:8" x14ac:dyDescent="0.25">
      <c r="A469" s="232">
        <v>45717</v>
      </c>
      <c r="B469" s="233" t="s">
        <v>309</v>
      </c>
      <c r="C469" s="234" t="s">
        <v>4</v>
      </c>
      <c r="D469" s="235">
        <v>6.8449999999999998</v>
      </c>
      <c r="F469" s="119"/>
      <c r="H469" s="119"/>
    </row>
    <row r="470" spans="1:8" x14ac:dyDescent="0.25">
      <c r="A470" s="232">
        <v>45717</v>
      </c>
      <c r="B470" s="233" t="s">
        <v>378</v>
      </c>
      <c r="C470" s="234" t="s">
        <v>117</v>
      </c>
      <c r="D470" s="235">
        <v>5.15</v>
      </c>
      <c r="F470" s="119"/>
      <c r="H470" s="119"/>
    </row>
    <row r="471" spans="1:8" x14ac:dyDescent="0.25">
      <c r="A471" s="232">
        <v>45717</v>
      </c>
      <c r="B471" s="233" t="s">
        <v>113</v>
      </c>
      <c r="C471" s="234" t="s">
        <v>134</v>
      </c>
      <c r="D471" s="235">
        <v>4.97</v>
      </c>
      <c r="F471" s="119"/>
      <c r="H471" s="119"/>
    </row>
    <row r="472" spans="1:8" x14ac:dyDescent="0.25">
      <c r="A472" s="232">
        <v>45717</v>
      </c>
      <c r="B472" s="233" t="s">
        <v>379</v>
      </c>
      <c r="C472" s="234" t="s">
        <v>127</v>
      </c>
      <c r="D472" s="235">
        <v>2.3149999999999999</v>
      </c>
      <c r="F472" s="119"/>
      <c r="H472" s="119"/>
    </row>
    <row r="473" spans="1:8" x14ac:dyDescent="0.25">
      <c r="A473" s="232">
        <v>45717</v>
      </c>
      <c r="B473" s="233" t="s">
        <v>380</v>
      </c>
      <c r="C473" s="234" t="s">
        <v>410</v>
      </c>
      <c r="D473" s="235">
        <v>2.29</v>
      </c>
      <c r="F473" s="119"/>
      <c r="H473" s="119"/>
    </row>
    <row r="474" spans="1:8" x14ac:dyDescent="0.25">
      <c r="A474" s="232">
        <v>45717</v>
      </c>
      <c r="B474" s="233" t="s">
        <v>457</v>
      </c>
      <c r="C474" s="234" t="s">
        <v>415</v>
      </c>
      <c r="D474" s="235">
        <v>2.1349999999999998</v>
      </c>
      <c r="F474" s="119"/>
      <c r="H474" s="119"/>
    </row>
    <row r="475" spans="1:8" x14ac:dyDescent="0.25">
      <c r="A475" s="232">
        <v>45717</v>
      </c>
      <c r="B475" s="233" t="s">
        <v>683</v>
      </c>
      <c r="C475" s="234" t="s">
        <v>641</v>
      </c>
      <c r="D475" s="235">
        <v>4.93</v>
      </c>
      <c r="F475" s="119"/>
    </row>
    <row r="476" spans="1:8" x14ac:dyDescent="0.25">
      <c r="A476" s="232">
        <v>45717</v>
      </c>
      <c r="B476" s="233" t="s">
        <v>190</v>
      </c>
      <c r="C476" s="234" t="s">
        <v>203</v>
      </c>
      <c r="D476" s="235">
        <v>5.3550000000000004</v>
      </c>
    </row>
    <row r="477" spans="1:8" x14ac:dyDescent="0.25">
      <c r="A477" s="232">
        <v>45717</v>
      </c>
      <c r="B477" s="233" t="s">
        <v>191</v>
      </c>
      <c r="C477" s="234" t="s">
        <v>204</v>
      </c>
      <c r="D477" s="235">
        <v>2.7349999999999999</v>
      </c>
    </row>
    <row r="478" spans="1:8" x14ac:dyDescent="0.25">
      <c r="A478" s="232">
        <v>45717</v>
      </c>
      <c r="B478" s="233" t="s">
        <v>185</v>
      </c>
      <c r="C478" s="234" t="s">
        <v>198</v>
      </c>
      <c r="D478" s="235">
        <v>0</v>
      </c>
    </row>
    <row r="479" spans="1:8" x14ac:dyDescent="0.25">
      <c r="A479" s="232">
        <v>45717</v>
      </c>
      <c r="B479" s="233" t="s">
        <v>184</v>
      </c>
      <c r="C479" s="234" t="s">
        <v>197</v>
      </c>
      <c r="D479" s="235">
        <v>5.17</v>
      </c>
    </row>
    <row r="480" spans="1:8" x14ac:dyDescent="0.25">
      <c r="A480" s="232">
        <v>45717</v>
      </c>
      <c r="B480" s="233" t="s">
        <v>194</v>
      </c>
      <c r="C480" s="234" t="s">
        <v>209</v>
      </c>
      <c r="D480" s="235">
        <v>1.81</v>
      </c>
    </row>
    <row r="481" spans="1:8" x14ac:dyDescent="0.25">
      <c r="A481" s="232">
        <v>45717</v>
      </c>
      <c r="B481" s="233" t="s">
        <v>196</v>
      </c>
      <c r="C481" s="234" t="s">
        <v>208</v>
      </c>
      <c r="D481" s="235">
        <v>3.15</v>
      </c>
    </row>
    <row r="482" spans="1:8" x14ac:dyDescent="0.25">
      <c r="A482" s="232">
        <v>45731</v>
      </c>
      <c r="B482" s="233" t="s">
        <v>304</v>
      </c>
      <c r="C482" s="234" t="s">
        <v>118</v>
      </c>
      <c r="D482" s="235">
        <v>4.47</v>
      </c>
    </row>
    <row r="483" spans="1:8" x14ac:dyDescent="0.25">
      <c r="A483" s="232">
        <v>45731</v>
      </c>
      <c r="B483" s="233" t="s">
        <v>309</v>
      </c>
      <c r="C483" s="234" t="s">
        <v>4</v>
      </c>
      <c r="D483" s="235">
        <v>5.22</v>
      </c>
    </row>
    <row r="484" spans="1:8" x14ac:dyDescent="0.25">
      <c r="A484" s="232">
        <v>45731</v>
      </c>
      <c r="B484" s="233" t="s">
        <v>378</v>
      </c>
      <c r="C484" s="234" t="s">
        <v>117</v>
      </c>
      <c r="D484" s="235">
        <v>4.3949999999999996</v>
      </c>
    </row>
    <row r="485" spans="1:8" x14ac:dyDescent="0.25">
      <c r="A485" s="232">
        <v>45731</v>
      </c>
      <c r="B485" s="233" t="s">
        <v>113</v>
      </c>
      <c r="C485" s="234" t="s">
        <v>134</v>
      </c>
      <c r="D485" s="235">
        <v>3.52</v>
      </c>
    </row>
    <row r="486" spans="1:8" x14ac:dyDescent="0.25">
      <c r="A486" s="232">
        <v>45731</v>
      </c>
      <c r="B486" s="233" t="s">
        <v>379</v>
      </c>
      <c r="C486" s="234" t="s">
        <v>127</v>
      </c>
      <c r="D486" s="235">
        <v>2.2250000000000001</v>
      </c>
    </row>
    <row r="487" spans="1:8" x14ac:dyDescent="0.25">
      <c r="A487" s="232">
        <v>45731</v>
      </c>
      <c r="B487" s="233" t="s">
        <v>380</v>
      </c>
      <c r="C487" s="234" t="s">
        <v>410</v>
      </c>
      <c r="D487" s="235">
        <v>0.57999999999999996</v>
      </c>
    </row>
    <row r="488" spans="1:8" x14ac:dyDescent="0.25">
      <c r="A488" s="232">
        <v>45731</v>
      </c>
      <c r="B488" s="233" t="s">
        <v>683</v>
      </c>
      <c r="C488" s="234" t="s">
        <v>641</v>
      </c>
      <c r="D488" s="235">
        <v>3.21</v>
      </c>
      <c r="G488" s="1" t="s">
        <v>641</v>
      </c>
      <c r="H488" s="119">
        <v>3.2050000000000001</v>
      </c>
    </row>
    <row r="489" spans="1:8" x14ac:dyDescent="0.25">
      <c r="A489" s="232">
        <v>45731</v>
      </c>
      <c r="B489" s="233" t="s">
        <v>457</v>
      </c>
      <c r="C489" s="234" t="s">
        <v>415</v>
      </c>
      <c r="D489" s="235">
        <v>2.2050000000000001</v>
      </c>
    </row>
    <row r="490" spans="1:8" x14ac:dyDescent="0.25">
      <c r="A490" s="232">
        <v>45731</v>
      </c>
      <c r="B490" s="233" t="s">
        <v>190</v>
      </c>
      <c r="C490" s="234" t="s">
        <v>203</v>
      </c>
      <c r="D490" s="235">
        <v>5.1349999999999998</v>
      </c>
    </row>
    <row r="491" spans="1:8" x14ac:dyDescent="0.25">
      <c r="A491" s="232">
        <v>45731</v>
      </c>
      <c r="B491" s="233" t="s">
        <v>191</v>
      </c>
      <c r="C491" s="234" t="s">
        <v>204</v>
      </c>
      <c r="D491" s="235">
        <v>3.1749999999999998</v>
      </c>
    </row>
    <row r="492" spans="1:8" x14ac:dyDescent="0.25">
      <c r="A492" s="232">
        <v>45731</v>
      </c>
      <c r="B492" s="233" t="s">
        <v>185</v>
      </c>
      <c r="C492" s="234" t="s">
        <v>198</v>
      </c>
      <c r="D492" s="235">
        <v>0</v>
      </c>
    </row>
    <row r="493" spans="1:8" x14ac:dyDescent="0.25">
      <c r="A493" s="232">
        <v>45731</v>
      </c>
      <c r="B493" s="233" t="s">
        <v>184</v>
      </c>
      <c r="C493" s="234" t="s">
        <v>197</v>
      </c>
      <c r="D493" s="235">
        <v>6.13</v>
      </c>
    </row>
    <row r="494" spans="1:8" x14ac:dyDescent="0.25">
      <c r="A494" s="232">
        <v>45731</v>
      </c>
      <c r="B494" s="233" t="s">
        <v>194</v>
      </c>
      <c r="C494" s="234" t="s">
        <v>209</v>
      </c>
      <c r="D494" s="235">
        <v>1.5649999999999999</v>
      </c>
    </row>
    <row r="495" spans="1:8" x14ac:dyDescent="0.25">
      <c r="A495" s="232">
        <v>45731</v>
      </c>
      <c r="B495" s="233" t="s">
        <v>196</v>
      </c>
      <c r="C495" s="234" t="s">
        <v>208</v>
      </c>
      <c r="D495" s="235">
        <v>3.165</v>
      </c>
    </row>
    <row r="496" spans="1:8" x14ac:dyDescent="0.25">
      <c r="A496" s="232">
        <v>45746</v>
      </c>
      <c r="B496" s="233" t="s">
        <v>304</v>
      </c>
      <c r="C496" s="234" t="s">
        <v>118</v>
      </c>
      <c r="D496" s="235">
        <v>6.1550000000000002</v>
      </c>
    </row>
    <row r="497" spans="1:8" x14ac:dyDescent="0.25">
      <c r="A497" s="232">
        <v>45746</v>
      </c>
      <c r="B497" s="233" t="s">
        <v>309</v>
      </c>
      <c r="C497" s="234" t="s">
        <v>4</v>
      </c>
      <c r="D497" s="235">
        <v>6.6950000000000003</v>
      </c>
    </row>
    <row r="498" spans="1:8" x14ac:dyDescent="0.25">
      <c r="A498" s="232">
        <v>45746</v>
      </c>
      <c r="B498" s="233" t="s">
        <v>378</v>
      </c>
      <c r="C498" s="234" t="s">
        <v>117</v>
      </c>
      <c r="D498" s="235">
        <v>5.8150000000000004</v>
      </c>
    </row>
    <row r="499" spans="1:8" x14ac:dyDescent="0.25">
      <c r="A499" s="232">
        <v>45746</v>
      </c>
      <c r="B499" s="233" t="s">
        <v>113</v>
      </c>
      <c r="C499" s="234" t="s">
        <v>134</v>
      </c>
      <c r="D499" s="235">
        <v>4.9400000000000004</v>
      </c>
    </row>
    <row r="500" spans="1:8" x14ac:dyDescent="0.25">
      <c r="A500" s="232">
        <v>45746</v>
      </c>
      <c r="B500" s="233" t="s">
        <v>379</v>
      </c>
      <c r="C500" s="234" t="s">
        <v>127</v>
      </c>
      <c r="D500" s="235">
        <v>3.28</v>
      </c>
    </row>
    <row r="501" spans="1:8" x14ac:dyDescent="0.25">
      <c r="A501" s="232">
        <v>45746</v>
      </c>
      <c r="B501" s="233" t="s">
        <v>683</v>
      </c>
      <c r="C501" s="234" t="s">
        <v>641</v>
      </c>
      <c r="D501" s="235">
        <v>5</v>
      </c>
      <c r="G501" s="1" t="s">
        <v>641</v>
      </c>
      <c r="H501" s="119">
        <v>5</v>
      </c>
    </row>
    <row r="502" spans="1:8" x14ac:dyDescent="0.25">
      <c r="A502" s="232">
        <v>45746</v>
      </c>
      <c r="B502" s="233" t="s">
        <v>380</v>
      </c>
      <c r="C502" s="234" t="s">
        <v>410</v>
      </c>
      <c r="D502" s="235">
        <v>0</v>
      </c>
    </row>
    <row r="503" spans="1:8" x14ac:dyDescent="0.25">
      <c r="A503" s="232">
        <v>45746</v>
      </c>
      <c r="B503" s="233" t="s">
        <v>457</v>
      </c>
      <c r="C503" s="234" t="s">
        <v>415</v>
      </c>
      <c r="D503" s="235">
        <v>3.56</v>
      </c>
    </row>
    <row r="504" spans="1:8" x14ac:dyDescent="0.25">
      <c r="A504" s="232">
        <v>45746</v>
      </c>
      <c r="B504" s="233" t="s">
        <v>190</v>
      </c>
      <c r="C504" s="234" t="s">
        <v>203</v>
      </c>
      <c r="D504" s="235">
        <v>6.3</v>
      </c>
    </row>
    <row r="505" spans="1:8" x14ac:dyDescent="0.25">
      <c r="A505" s="232">
        <v>45746</v>
      </c>
      <c r="B505" s="233" t="s">
        <v>191</v>
      </c>
      <c r="C505" s="234" t="s">
        <v>204</v>
      </c>
      <c r="D505" s="235">
        <v>3.6749999999999998</v>
      </c>
    </row>
    <row r="506" spans="1:8" x14ac:dyDescent="0.25">
      <c r="A506" s="232">
        <v>45746</v>
      </c>
      <c r="B506" s="233" t="s">
        <v>185</v>
      </c>
      <c r="C506" s="234" t="s">
        <v>198</v>
      </c>
      <c r="D506" s="235">
        <v>5.2</v>
      </c>
    </row>
    <row r="507" spans="1:8" x14ac:dyDescent="0.25">
      <c r="A507" s="232">
        <v>45746</v>
      </c>
      <c r="B507" s="233" t="s">
        <v>184</v>
      </c>
      <c r="C507" s="234" t="s">
        <v>197</v>
      </c>
      <c r="D507" s="235">
        <v>4.29</v>
      </c>
    </row>
    <row r="508" spans="1:8" x14ac:dyDescent="0.25">
      <c r="A508" s="232">
        <v>45746</v>
      </c>
      <c r="B508" s="233" t="s">
        <v>194</v>
      </c>
      <c r="C508" s="234" t="s">
        <v>209</v>
      </c>
      <c r="D508" s="235">
        <v>1.98</v>
      </c>
    </row>
    <row r="509" spans="1:8" x14ac:dyDescent="0.25">
      <c r="A509" s="232">
        <v>45746</v>
      </c>
      <c r="B509" s="233" t="s">
        <v>196</v>
      </c>
      <c r="C509" s="234" t="s">
        <v>208</v>
      </c>
      <c r="D509" s="235">
        <v>3.1949999999999998</v>
      </c>
    </row>
    <row r="510" spans="1:8" x14ac:dyDescent="0.25">
      <c r="A510" s="232">
        <v>45762</v>
      </c>
      <c r="B510" s="233" t="s">
        <v>304</v>
      </c>
      <c r="C510" s="234" t="s">
        <v>118</v>
      </c>
      <c r="D510" s="235">
        <v>6.04</v>
      </c>
    </row>
    <row r="511" spans="1:8" x14ac:dyDescent="0.25">
      <c r="A511" s="232">
        <v>45762</v>
      </c>
      <c r="B511" s="233" t="s">
        <v>309</v>
      </c>
      <c r="C511" s="234" t="s">
        <v>4</v>
      </c>
      <c r="D511" s="235">
        <v>8.1549999999999994</v>
      </c>
    </row>
    <row r="512" spans="1:8" x14ac:dyDescent="0.25">
      <c r="A512" s="232">
        <v>45762</v>
      </c>
      <c r="B512" s="233" t="s">
        <v>378</v>
      </c>
      <c r="C512" s="234" t="s">
        <v>117</v>
      </c>
      <c r="D512" s="235">
        <v>6.14</v>
      </c>
    </row>
    <row r="513" spans="1:4" x14ac:dyDescent="0.25">
      <c r="A513" s="232">
        <v>45762</v>
      </c>
      <c r="B513" s="233" t="s">
        <v>113</v>
      </c>
      <c r="C513" s="234" t="s">
        <v>134</v>
      </c>
      <c r="D513" s="235">
        <v>5.5149999999999997</v>
      </c>
    </row>
    <row r="514" spans="1:4" x14ac:dyDescent="0.25">
      <c r="A514" s="232">
        <v>45762</v>
      </c>
      <c r="B514" s="233" t="s">
        <v>379</v>
      </c>
      <c r="C514" s="234" t="s">
        <v>127</v>
      </c>
      <c r="D514" s="235">
        <v>3.99</v>
      </c>
    </row>
    <row r="515" spans="1:4" x14ac:dyDescent="0.25">
      <c r="A515" s="232">
        <v>45762</v>
      </c>
      <c r="B515" s="233" t="s">
        <v>683</v>
      </c>
      <c r="C515" s="234" t="s">
        <v>641</v>
      </c>
      <c r="D515" s="235">
        <v>4.93</v>
      </c>
    </row>
    <row r="516" spans="1:4" x14ac:dyDescent="0.25">
      <c r="A516" s="232">
        <v>45762</v>
      </c>
      <c r="B516" s="233" t="s">
        <v>671</v>
      </c>
      <c r="C516" s="234" t="s">
        <v>669</v>
      </c>
      <c r="D516" s="235">
        <v>5.19</v>
      </c>
    </row>
    <row r="517" spans="1:4" x14ac:dyDescent="0.25">
      <c r="A517" s="232">
        <v>45762</v>
      </c>
      <c r="B517" s="233" t="s">
        <v>457</v>
      </c>
      <c r="C517" s="234" t="s">
        <v>415</v>
      </c>
      <c r="D517" s="235">
        <v>3.5049999999999999</v>
      </c>
    </row>
    <row r="518" spans="1:4" x14ac:dyDescent="0.25">
      <c r="A518" s="232">
        <v>45762</v>
      </c>
      <c r="B518" s="233" t="s">
        <v>190</v>
      </c>
      <c r="C518" s="234" t="s">
        <v>203</v>
      </c>
      <c r="D518" s="235">
        <v>5.9050000000000002</v>
      </c>
    </row>
    <row r="519" spans="1:4" x14ac:dyDescent="0.25">
      <c r="A519" s="232">
        <v>45762</v>
      </c>
      <c r="B519" s="233" t="s">
        <v>191</v>
      </c>
      <c r="C519" s="234" t="s">
        <v>204</v>
      </c>
      <c r="D519" s="235">
        <v>3.5350000000000001</v>
      </c>
    </row>
    <row r="520" spans="1:4" x14ac:dyDescent="0.25">
      <c r="A520" s="232">
        <v>45762</v>
      </c>
      <c r="B520" s="233" t="s">
        <v>185</v>
      </c>
      <c r="C520" s="234" t="s">
        <v>198</v>
      </c>
      <c r="D520" s="235">
        <v>6.9649999999999999</v>
      </c>
    </row>
    <row r="521" spans="1:4" x14ac:dyDescent="0.25">
      <c r="A521" s="232">
        <v>45762</v>
      </c>
      <c r="B521" s="233" t="s">
        <v>184</v>
      </c>
      <c r="C521" s="234" t="s">
        <v>197</v>
      </c>
      <c r="D521" s="235">
        <v>7.5549999999999997</v>
      </c>
    </row>
    <row r="522" spans="1:4" x14ac:dyDescent="0.25">
      <c r="A522" s="232">
        <v>45762</v>
      </c>
      <c r="B522" s="233" t="s">
        <v>670</v>
      </c>
      <c r="C522" s="234" t="s">
        <v>672</v>
      </c>
      <c r="D522" s="235">
        <v>1.0249999999999999</v>
      </c>
    </row>
    <row r="523" spans="1:4" x14ac:dyDescent="0.25">
      <c r="A523" s="232">
        <v>45762</v>
      </c>
      <c r="B523" s="233" t="s">
        <v>196</v>
      </c>
      <c r="C523" s="234" t="s">
        <v>208</v>
      </c>
      <c r="D523" s="235">
        <v>3.3450000000000002</v>
      </c>
    </row>
    <row r="524" spans="1:4" x14ac:dyDescent="0.25">
      <c r="A524" s="232">
        <v>45776</v>
      </c>
      <c r="B524" s="233" t="s">
        <v>304</v>
      </c>
      <c r="C524" s="234" t="s">
        <v>118</v>
      </c>
      <c r="D524" s="235">
        <v>6.2649999999999997</v>
      </c>
    </row>
    <row r="525" spans="1:4" x14ac:dyDescent="0.25">
      <c r="A525" s="232">
        <v>45776</v>
      </c>
      <c r="B525" s="233" t="s">
        <v>309</v>
      </c>
      <c r="C525" s="234" t="s">
        <v>4</v>
      </c>
      <c r="D525" s="235">
        <v>8.5250000000000004</v>
      </c>
    </row>
    <row r="526" spans="1:4" x14ac:dyDescent="0.25">
      <c r="A526" s="232">
        <v>45776</v>
      </c>
      <c r="B526" s="233" t="s">
        <v>378</v>
      </c>
      <c r="C526" s="234" t="s">
        <v>117</v>
      </c>
      <c r="D526" s="235">
        <v>7.0250000000000004</v>
      </c>
    </row>
    <row r="527" spans="1:4" x14ac:dyDescent="0.25">
      <c r="A527" s="232">
        <v>45776</v>
      </c>
      <c r="B527" s="233" t="s">
        <v>113</v>
      </c>
      <c r="C527" s="234" t="s">
        <v>134</v>
      </c>
      <c r="D527" s="235">
        <v>5.25</v>
      </c>
    </row>
    <row r="528" spans="1:4" x14ac:dyDescent="0.25">
      <c r="A528" s="232">
        <v>45776</v>
      </c>
      <c r="B528" s="233" t="s">
        <v>379</v>
      </c>
      <c r="C528" s="234" t="s">
        <v>127</v>
      </c>
      <c r="D528" s="235">
        <v>3.19</v>
      </c>
    </row>
    <row r="529" spans="1:4" x14ac:dyDescent="0.25">
      <c r="A529" s="232">
        <v>45776</v>
      </c>
      <c r="B529" s="233" t="s">
        <v>683</v>
      </c>
      <c r="C529" s="234" t="s">
        <v>641</v>
      </c>
      <c r="D529" s="235">
        <v>5.82</v>
      </c>
    </row>
    <row r="530" spans="1:4" x14ac:dyDescent="0.25">
      <c r="A530" s="232">
        <v>45776</v>
      </c>
      <c r="B530" s="233" t="s">
        <v>671</v>
      </c>
      <c r="C530" s="234" t="s">
        <v>669</v>
      </c>
      <c r="D530" s="235">
        <v>5.1449999999999996</v>
      </c>
    </row>
    <row r="531" spans="1:4" x14ac:dyDescent="0.25">
      <c r="A531" s="232">
        <v>45776</v>
      </c>
      <c r="B531" s="233" t="s">
        <v>457</v>
      </c>
      <c r="C531" s="234" t="s">
        <v>415</v>
      </c>
      <c r="D531" s="235">
        <v>3.7149999999999999</v>
      </c>
    </row>
    <row r="532" spans="1:4" x14ac:dyDescent="0.25">
      <c r="A532" s="232">
        <v>45776</v>
      </c>
      <c r="B532" s="233" t="s">
        <v>190</v>
      </c>
      <c r="C532" s="234" t="s">
        <v>203</v>
      </c>
      <c r="D532" s="235">
        <v>6.04</v>
      </c>
    </row>
    <row r="533" spans="1:4" x14ac:dyDescent="0.25">
      <c r="A533" s="232">
        <v>45776</v>
      </c>
      <c r="B533" s="233" t="s">
        <v>191</v>
      </c>
      <c r="C533" s="234" t="s">
        <v>204</v>
      </c>
      <c r="D533" s="235">
        <v>3.2549999999999999</v>
      </c>
    </row>
    <row r="534" spans="1:4" x14ac:dyDescent="0.25">
      <c r="A534" s="232">
        <v>45776</v>
      </c>
      <c r="B534" s="233" t="s">
        <v>185</v>
      </c>
      <c r="C534" s="234" t="s">
        <v>198</v>
      </c>
      <c r="D534" s="235">
        <v>6.28</v>
      </c>
    </row>
    <row r="535" spans="1:4" x14ac:dyDescent="0.25">
      <c r="A535" s="232">
        <v>45776</v>
      </c>
      <c r="B535" s="233" t="s">
        <v>184</v>
      </c>
      <c r="C535" s="234" t="s">
        <v>197</v>
      </c>
      <c r="D535" s="235">
        <v>6.7350000000000003</v>
      </c>
    </row>
    <row r="536" spans="1:4" x14ac:dyDescent="0.25">
      <c r="A536" s="232">
        <v>45776</v>
      </c>
      <c r="B536" s="233" t="s">
        <v>670</v>
      </c>
      <c r="C536" s="234" t="s">
        <v>672</v>
      </c>
      <c r="D536" s="235">
        <v>6.16</v>
      </c>
    </row>
    <row r="537" spans="1:4" x14ac:dyDescent="0.25">
      <c r="A537" s="232">
        <v>45776</v>
      </c>
      <c r="B537" s="233" t="s">
        <v>196</v>
      </c>
      <c r="C537" s="234" t="s">
        <v>208</v>
      </c>
      <c r="D537" s="235">
        <v>4.0549999999999997</v>
      </c>
    </row>
    <row r="538" spans="1:4" x14ac:dyDescent="0.25">
      <c r="A538" s="232">
        <v>45792</v>
      </c>
      <c r="B538" s="233" t="s">
        <v>304</v>
      </c>
      <c r="C538" s="234" t="s">
        <v>118</v>
      </c>
      <c r="D538" s="235">
        <v>6.85</v>
      </c>
    </row>
    <row r="539" spans="1:4" x14ac:dyDescent="0.25">
      <c r="A539" s="232">
        <v>45792</v>
      </c>
      <c r="B539" s="233" t="s">
        <v>309</v>
      </c>
      <c r="C539" s="234" t="s">
        <v>4</v>
      </c>
      <c r="D539" s="235">
        <v>7.74</v>
      </c>
    </row>
    <row r="540" spans="1:4" x14ac:dyDescent="0.25">
      <c r="A540" s="232">
        <v>45792</v>
      </c>
      <c r="B540" s="233" t="s">
        <v>378</v>
      </c>
      <c r="C540" s="234" t="s">
        <v>117</v>
      </c>
      <c r="D540" s="235">
        <v>6.335</v>
      </c>
    </row>
    <row r="541" spans="1:4" x14ac:dyDescent="0.25">
      <c r="A541" s="232">
        <v>45792</v>
      </c>
      <c r="B541" s="233" t="s">
        <v>113</v>
      </c>
      <c r="C541" s="234" t="s">
        <v>134</v>
      </c>
      <c r="D541" s="235">
        <v>5.165</v>
      </c>
    </row>
    <row r="542" spans="1:4" x14ac:dyDescent="0.25">
      <c r="A542" s="232">
        <v>45792</v>
      </c>
      <c r="B542" s="233" t="s">
        <v>379</v>
      </c>
      <c r="C542" s="234" t="s">
        <v>127</v>
      </c>
      <c r="D542" s="235">
        <v>4.1950000000000003</v>
      </c>
    </row>
    <row r="543" spans="1:4" x14ac:dyDescent="0.25">
      <c r="A543" s="232">
        <v>45792</v>
      </c>
      <c r="B543" s="233" t="s">
        <v>683</v>
      </c>
      <c r="C543" s="234" t="s">
        <v>641</v>
      </c>
      <c r="D543" s="235">
        <v>5.83</v>
      </c>
    </row>
    <row r="544" spans="1:4" x14ac:dyDescent="0.25">
      <c r="A544" s="232">
        <v>45792</v>
      </c>
      <c r="B544" s="233" t="s">
        <v>671</v>
      </c>
      <c r="C544" s="234" t="s">
        <v>669</v>
      </c>
      <c r="D544" s="235">
        <v>7.0650000000000004</v>
      </c>
    </row>
    <row r="545" spans="1:6" x14ac:dyDescent="0.25">
      <c r="A545" s="232">
        <v>45792</v>
      </c>
      <c r="B545" s="233" t="s">
        <v>457</v>
      </c>
      <c r="C545" s="234" t="s">
        <v>415</v>
      </c>
      <c r="D545" s="235">
        <v>3.2050000000000001</v>
      </c>
    </row>
    <row r="546" spans="1:6" x14ac:dyDescent="0.25">
      <c r="A546" s="232">
        <v>45792</v>
      </c>
      <c r="B546" s="233" t="s">
        <v>190</v>
      </c>
      <c r="C546" s="234" t="s">
        <v>203</v>
      </c>
      <c r="D546" s="235">
        <v>6.1349999999999998</v>
      </c>
    </row>
    <row r="547" spans="1:6" x14ac:dyDescent="0.25">
      <c r="A547" s="232">
        <v>45792</v>
      </c>
      <c r="B547" s="233" t="s">
        <v>191</v>
      </c>
      <c r="C547" s="234" t="s">
        <v>204</v>
      </c>
      <c r="D547" s="235">
        <v>3.45</v>
      </c>
    </row>
    <row r="548" spans="1:6" x14ac:dyDescent="0.25">
      <c r="A548" s="232">
        <v>45792</v>
      </c>
      <c r="B548" s="233" t="s">
        <v>185</v>
      </c>
      <c r="C548" s="234" t="s">
        <v>198</v>
      </c>
      <c r="D548" s="235">
        <v>5.65</v>
      </c>
    </row>
    <row r="549" spans="1:6" x14ac:dyDescent="0.25">
      <c r="A549" s="232">
        <v>45792</v>
      </c>
      <c r="B549" s="233" t="s">
        <v>184</v>
      </c>
      <c r="C549" s="234" t="s">
        <v>197</v>
      </c>
      <c r="D549" s="235">
        <v>5.165</v>
      </c>
    </row>
    <row r="550" spans="1:6" x14ac:dyDescent="0.25">
      <c r="A550" s="232">
        <v>45792</v>
      </c>
      <c r="B550" s="233" t="s">
        <v>670</v>
      </c>
      <c r="C550" s="234" t="s">
        <v>672</v>
      </c>
      <c r="D550" s="235">
        <v>5.59</v>
      </c>
    </row>
    <row r="551" spans="1:6" x14ac:dyDescent="0.25">
      <c r="A551" s="232">
        <v>45792</v>
      </c>
      <c r="B551" s="233" t="s">
        <v>196</v>
      </c>
      <c r="C551" s="234" t="s">
        <v>208</v>
      </c>
      <c r="D551" s="235">
        <v>3.1749999999999998</v>
      </c>
    </row>
    <row r="552" spans="1:6" x14ac:dyDescent="0.25">
      <c r="A552" s="232">
        <v>45792</v>
      </c>
      <c r="B552" s="233" t="s">
        <v>673</v>
      </c>
      <c r="C552" s="234" t="s">
        <v>688</v>
      </c>
      <c r="D552" s="235">
        <v>4.51</v>
      </c>
      <c r="F552" s="119">
        <f>SUM(D538:D552)</f>
        <v>80.06</v>
      </c>
    </row>
    <row r="553" spans="1:6" x14ac:dyDescent="0.25">
      <c r="A553" s="232">
        <v>45807</v>
      </c>
      <c r="B553" s="233" t="s">
        <v>304</v>
      </c>
      <c r="C553" s="234" t="s">
        <v>118</v>
      </c>
      <c r="D553" s="235">
        <v>6.7350000000000003</v>
      </c>
    </row>
    <row r="554" spans="1:6" x14ac:dyDescent="0.25">
      <c r="A554" s="232">
        <v>45807</v>
      </c>
      <c r="B554" s="233" t="s">
        <v>309</v>
      </c>
      <c r="C554" s="234" t="s">
        <v>4</v>
      </c>
      <c r="D554" s="235">
        <v>6.2450000000000001</v>
      </c>
    </row>
    <row r="555" spans="1:6" x14ac:dyDescent="0.25">
      <c r="A555" s="232">
        <v>45807</v>
      </c>
      <c r="B555" s="233" t="s">
        <v>378</v>
      </c>
      <c r="C555" s="234" t="s">
        <v>117</v>
      </c>
      <c r="D555" s="235">
        <v>6.1150000000000002</v>
      </c>
    </row>
    <row r="556" spans="1:6" x14ac:dyDescent="0.25">
      <c r="A556" s="232">
        <v>45807</v>
      </c>
      <c r="B556" s="233" t="s">
        <v>113</v>
      </c>
      <c r="C556" s="234" t="s">
        <v>134</v>
      </c>
      <c r="D556" s="235">
        <v>5.25</v>
      </c>
    </row>
    <row r="557" spans="1:6" x14ac:dyDescent="0.25">
      <c r="A557" s="232">
        <v>45807</v>
      </c>
      <c r="B557" s="233" t="s">
        <v>379</v>
      </c>
      <c r="C557" s="234" t="s">
        <v>127</v>
      </c>
      <c r="D557" s="235">
        <v>4.4450000000000003</v>
      </c>
    </row>
    <row r="558" spans="1:6" x14ac:dyDescent="0.25">
      <c r="A558" s="232">
        <v>45807</v>
      </c>
      <c r="B558" s="233" t="s">
        <v>683</v>
      </c>
      <c r="C558" s="234" t="s">
        <v>641</v>
      </c>
      <c r="D558" s="235">
        <v>5.45</v>
      </c>
    </row>
    <row r="559" spans="1:6" x14ac:dyDescent="0.25">
      <c r="A559" s="232">
        <v>45807</v>
      </c>
      <c r="B559" s="233" t="s">
        <v>671</v>
      </c>
      <c r="C559" s="234" t="s">
        <v>669</v>
      </c>
      <c r="D559" s="235">
        <v>6.4</v>
      </c>
    </row>
    <row r="560" spans="1:6" x14ac:dyDescent="0.25">
      <c r="A560" s="232">
        <v>45807</v>
      </c>
      <c r="B560" s="233" t="s">
        <v>457</v>
      </c>
      <c r="C560" s="234" t="s">
        <v>415</v>
      </c>
      <c r="D560" s="235">
        <v>2.78</v>
      </c>
    </row>
    <row r="561" spans="1:6" x14ac:dyDescent="0.25">
      <c r="A561" s="232">
        <v>45807</v>
      </c>
      <c r="B561" s="233" t="s">
        <v>190</v>
      </c>
      <c r="C561" s="234" t="s">
        <v>203</v>
      </c>
      <c r="D561" s="235">
        <v>5.8</v>
      </c>
    </row>
    <row r="562" spans="1:6" x14ac:dyDescent="0.25">
      <c r="A562" s="232">
        <v>45807</v>
      </c>
      <c r="B562" s="233" t="s">
        <v>191</v>
      </c>
      <c r="C562" s="234" t="s">
        <v>204</v>
      </c>
      <c r="D562" s="235">
        <v>3.25</v>
      </c>
    </row>
    <row r="563" spans="1:6" x14ac:dyDescent="0.25">
      <c r="A563" s="232">
        <v>45807</v>
      </c>
      <c r="B563" s="233" t="s">
        <v>185</v>
      </c>
      <c r="C563" s="234" t="s">
        <v>198</v>
      </c>
      <c r="D563" s="235">
        <v>4.32</v>
      </c>
    </row>
    <row r="564" spans="1:6" x14ac:dyDescent="0.25">
      <c r="A564" s="232">
        <v>45807</v>
      </c>
      <c r="B564" s="233" t="s">
        <v>184</v>
      </c>
      <c r="C564" s="234" t="s">
        <v>197</v>
      </c>
      <c r="D564" s="235">
        <v>5.9749999999999996</v>
      </c>
    </row>
    <row r="565" spans="1:6" x14ac:dyDescent="0.25">
      <c r="A565" s="232">
        <v>45807</v>
      </c>
      <c r="B565" s="233" t="s">
        <v>670</v>
      </c>
      <c r="C565" s="234" t="s">
        <v>672</v>
      </c>
      <c r="D565" s="235">
        <v>5.4649999999999999</v>
      </c>
    </row>
    <row r="566" spans="1:6" x14ac:dyDescent="0.25">
      <c r="A566" s="232">
        <v>45807</v>
      </c>
      <c r="B566" s="233" t="s">
        <v>196</v>
      </c>
      <c r="C566" s="234" t="s">
        <v>208</v>
      </c>
      <c r="D566" s="235">
        <v>3.2450000000000001</v>
      </c>
    </row>
    <row r="567" spans="1:6" x14ac:dyDescent="0.25">
      <c r="A567" s="232">
        <v>45807</v>
      </c>
      <c r="B567" s="233" t="s">
        <v>673</v>
      </c>
      <c r="C567" s="234" t="s">
        <v>688</v>
      </c>
      <c r="D567" s="235">
        <v>3.9950000000000001</v>
      </c>
      <c r="F567" s="119"/>
    </row>
    <row r="568" spans="1:6" x14ac:dyDescent="0.25">
      <c r="A568" s="232">
        <v>45823</v>
      </c>
      <c r="B568" s="233" t="s">
        <v>304</v>
      </c>
      <c r="C568" s="234" t="s">
        <v>118</v>
      </c>
      <c r="D568" s="235">
        <v>5.54</v>
      </c>
    </row>
    <row r="569" spans="1:6" x14ac:dyDescent="0.25">
      <c r="A569" s="232">
        <v>45823</v>
      </c>
      <c r="B569" s="233" t="s">
        <v>309</v>
      </c>
      <c r="C569" s="234" t="s">
        <v>4</v>
      </c>
      <c r="D569" s="235">
        <v>6.41</v>
      </c>
    </row>
    <row r="570" spans="1:6" x14ac:dyDescent="0.25">
      <c r="A570" s="232">
        <v>45823</v>
      </c>
      <c r="B570" s="233" t="s">
        <v>378</v>
      </c>
      <c r="C570" s="234" t="s">
        <v>117</v>
      </c>
      <c r="D570" s="235">
        <v>5.43</v>
      </c>
    </row>
    <row r="571" spans="1:6" x14ac:dyDescent="0.25">
      <c r="A571" s="232">
        <v>45823</v>
      </c>
      <c r="B571" s="233" t="s">
        <v>113</v>
      </c>
      <c r="C571" s="234" t="s">
        <v>134</v>
      </c>
      <c r="D571" s="235">
        <v>4.47</v>
      </c>
    </row>
    <row r="572" spans="1:6" x14ac:dyDescent="0.25">
      <c r="A572" s="232">
        <v>45823</v>
      </c>
      <c r="B572" s="233" t="s">
        <v>379</v>
      </c>
      <c r="C572" s="234" t="s">
        <v>127</v>
      </c>
      <c r="D572" s="235">
        <v>3.23</v>
      </c>
    </row>
    <row r="573" spans="1:6" x14ac:dyDescent="0.25">
      <c r="A573" s="232">
        <v>45823</v>
      </c>
      <c r="B573" s="233" t="s">
        <v>683</v>
      </c>
      <c r="C573" s="234" t="s">
        <v>641</v>
      </c>
      <c r="D573" s="235">
        <v>4.67</v>
      </c>
    </row>
    <row r="574" spans="1:6" x14ac:dyDescent="0.25">
      <c r="A574" s="232">
        <v>45823</v>
      </c>
      <c r="B574" s="233" t="s">
        <v>671</v>
      </c>
      <c r="C574" s="234" t="s">
        <v>669</v>
      </c>
      <c r="D574" s="235">
        <v>6.15</v>
      </c>
    </row>
    <row r="575" spans="1:6" x14ac:dyDescent="0.25">
      <c r="A575" s="232">
        <v>45823</v>
      </c>
      <c r="B575" s="233" t="s">
        <v>457</v>
      </c>
      <c r="C575" s="234" t="s">
        <v>415</v>
      </c>
      <c r="D575" s="235">
        <v>2.2650000000000001</v>
      </c>
    </row>
    <row r="576" spans="1:6" x14ac:dyDescent="0.25">
      <c r="A576" s="232">
        <v>45823</v>
      </c>
      <c r="B576" s="233" t="s">
        <v>190</v>
      </c>
      <c r="C576" s="234" t="s">
        <v>203</v>
      </c>
      <c r="D576" s="235">
        <v>3.3050000000000002</v>
      </c>
    </row>
    <row r="577" spans="1:6" x14ac:dyDescent="0.25">
      <c r="A577" s="232">
        <v>45823</v>
      </c>
      <c r="B577" s="233" t="s">
        <v>191</v>
      </c>
      <c r="C577" s="234" t="s">
        <v>204</v>
      </c>
      <c r="D577" s="235">
        <v>2.6749999999999998</v>
      </c>
    </row>
    <row r="578" spans="1:6" x14ac:dyDescent="0.25">
      <c r="A578" s="232">
        <v>45823</v>
      </c>
      <c r="B578" s="233" t="s">
        <v>185</v>
      </c>
      <c r="C578" s="234" t="s">
        <v>198</v>
      </c>
      <c r="D578" s="235">
        <v>3.68</v>
      </c>
    </row>
    <row r="579" spans="1:6" x14ac:dyDescent="0.25">
      <c r="A579" s="232">
        <v>45823</v>
      </c>
      <c r="B579" s="233" t="s">
        <v>184</v>
      </c>
      <c r="C579" s="234" t="s">
        <v>197</v>
      </c>
      <c r="D579" s="235">
        <v>5.69</v>
      </c>
    </row>
    <row r="580" spans="1:6" x14ac:dyDescent="0.25">
      <c r="A580" s="232">
        <v>45823</v>
      </c>
      <c r="B580" s="233" t="s">
        <v>670</v>
      </c>
      <c r="C580" s="234" t="s">
        <v>672</v>
      </c>
      <c r="D580" s="235">
        <v>5.5049999999999999</v>
      </c>
    </row>
    <row r="581" spans="1:6" x14ac:dyDescent="0.25">
      <c r="A581" s="232">
        <v>45823</v>
      </c>
      <c r="B581" s="233" t="s">
        <v>196</v>
      </c>
      <c r="C581" s="234" t="s">
        <v>208</v>
      </c>
      <c r="D581" s="235">
        <v>2.0750000000000002</v>
      </c>
    </row>
    <row r="582" spans="1:6" x14ac:dyDescent="0.25">
      <c r="A582" s="232">
        <v>45823</v>
      </c>
      <c r="B582" s="233" t="s">
        <v>673</v>
      </c>
      <c r="C582" s="234" t="s">
        <v>688</v>
      </c>
      <c r="D582" s="235">
        <v>4.2699999999999996</v>
      </c>
      <c r="F582" s="119">
        <f>SUM(D568:D582)</f>
        <v>65.364999999999995</v>
      </c>
    </row>
    <row r="583" spans="1:6" x14ac:dyDescent="0.25">
      <c r="A583" s="232">
        <v>45838</v>
      </c>
      <c r="B583" s="233" t="s">
        <v>304</v>
      </c>
      <c r="C583" s="234" t="s">
        <v>118</v>
      </c>
      <c r="D583" s="235">
        <v>6.26</v>
      </c>
    </row>
    <row r="584" spans="1:6" x14ac:dyDescent="0.25">
      <c r="A584" s="232">
        <v>45838</v>
      </c>
      <c r="B584" s="233" t="s">
        <v>309</v>
      </c>
      <c r="C584" s="234" t="s">
        <v>4</v>
      </c>
      <c r="D584" s="235">
        <v>4.43</v>
      </c>
    </row>
    <row r="585" spans="1:6" x14ac:dyDescent="0.25">
      <c r="A585" s="232">
        <v>45838</v>
      </c>
      <c r="B585" s="233" t="s">
        <v>378</v>
      </c>
      <c r="C585" s="234" t="s">
        <v>117</v>
      </c>
      <c r="D585" s="235">
        <v>4.2</v>
      </c>
    </row>
    <row r="586" spans="1:6" x14ac:dyDescent="0.25">
      <c r="A586" s="232">
        <v>45838</v>
      </c>
      <c r="B586" s="233" t="s">
        <v>113</v>
      </c>
      <c r="C586" s="234" t="s">
        <v>134</v>
      </c>
      <c r="D586" s="235">
        <v>4.9249999999999998</v>
      </c>
    </row>
    <row r="587" spans="1:6" x14ac:dyDescent="0.25">
      <c r="A587" s="232">
        <v>45838</v>
      </c>
      <c r="B587" s="233" t="s">
        <v>379</v>
      </c>
      <c r="C587" s="234" t="s">
        <v>127</v>
      </c>
      <c r="D587" s="235">
        <v>4.1349999999999998</v>
      </c>
    </row>
    <row r="588" spans="1:6" x14ac:dyDescent="0.25">
      <c r="A588" s="232">
        <v>45838</v>
      </c>
      <c r="B588" s="233" t="s">
        <v>683</v>
      </c>
      <c r="C588" s="234" t="s">
        <v>641</v>
      </c>
      <c r="D588" s="235">
        <v>4.18</v>
      </c>
    </row>
    <row r="589" spans="1:6" x14ac:dyDescent="0.25">
      <c r="A589" s="232">
        <v>45838</v>
      </c>
      <c r="B589" s="233" t="s">
        <v>671</v>
      </c>
      <c r="C589" s="234" t="s">
        <v>669</v>
      </c>
      <c r="D589" s="235">
        <v>4.62</v>
      </c>
    </row>
    <row r="590" spans="1:6" x14ac:dyDescent="0.25">
      <c r="A590" s="232">
        <v>45838</v>
      </c>
      <c r="B590" s="233" t="s">
        <v>457</v>
      </c>
      <c r="C590" s="234" t="s">
        <v>415</v>
      </c>
      <c r="D590" s="235">
        <v>2.2000000000000002</v>
      </c>
    </row>
    <row r="591" spans="1:6" x14ac:dyDescent="0.25">
      <c r="A591" s="232">
        <v>45838</v>
      </c>
      <c r="B591" s="233" t="s">
        <v>190</v>
      </c>
      <c r="C591" s="234" t="s">
        <v>203</v>
      </c>
      <c r="D591" s="235">
        <v>3.0350000000000001</v>
      </c>
    </row>
    <row r="592" spans="1:6" x14ac:dyDescent="0.25">
      <c r="A592" s="232">
        <v>45838</v>
      </c>
      <c r="B592" s="233" t="s">
        <v>191</v>
      </c>
      <c r="C592" s="234" t="s">
        <v>204</v>
      </c>
      <c r="D592" s="235">
        <v>3.0150000000000001</v>
      </c>
    </row>
    <row r="593" spans="1:6" x14ac:dyDescent="0.25">
      <c r="A593" s="232">
        <v>45838</v>
      </c>
      <c r="B593" s="233" t="s">
        <v>185</v>
      </c>
      <c r="C593" s="234" t="s">
        <v>198</v>
      </c>
      <c r="D593" s="235">
        <v>4.9400000000000004</v>
      </c>
    </row>
    <row r="594" spans="1:6" x14ac:dyDescent="0.25">
      <c r="A594" s="232">
        <v>45838</v>
      </c>
      <c r="B594" s="233" t="s">
        <v>184</v>
      </c>
      <c r="C594" s="234" t="s">
        <v>197</v>
      </c>
      <c r="D594" s="235">
        <v>5.31</v>
      </c>
    </row>
    <row r="595" spans="1:6" x14ac:dyDescent="0.25">
      <c r="A595" s="232">
        <v>45838</v>
      </c>
      <c r="B595" s="233" t="s">
        <v>670</v>
      </c>
      <c r="C595" s="234" t="s">
        <v>672</v>
      </c>
      <c r="D595" s="235">
        <v>3.73</v>
      </c>
    </row>
    <row r="596" spans="1:6" x14ac:dyDescent="0.25">
      <c r="A596" s="232">
        <v>45838</v>
      </c>
      <c r="B596" s="233" t="s">
        <v>196</v>
      </c>
      <c r="C596" s="234" t="s">
        <v>208</v>
      </c>
      <c r="D596" s="235">
        <v>1.5549999999999999</v>
      </c>
    </row>
    <row r="597" spans="1:6" x14ac:dyDescent="0.25">
      <c r="A597" s="232">
        <v>45838</v>
      </c>
      <c r="B597" s="233" t="s">
        <v>673</v>
      </c>
      <c r="C597" s="234" t="s">
        <v>688</v>
      </c>
      <c r="D597" s="235">
        <v>5.15</v>
      </c>
      <c r="F597" s="119">
        <f>SUM(D583:D597)</f>
        <v>61.684999999999995</v>
      </c>
    </row>
    <row r="598" spans="1:6" x14ac:dyDescent="0.25">
      <c r="A598" s="232">
        <v>45853</v>
      </c>
      <c r="B598" s="233" t="s">
        <v>304</v>
      </c>
      <c r="C598" s="234" t="s">
        <v>118</v>
      </c>
      <c r="D598" s="235">
        <v>5.18</v>
      </c>
    </row>
    <row r="599" spans="1:6" x14ac:dyDescent="0.25">
      <c r="A599" s="232">
        <v>45853</v>
      </c>
      <c r="B599" s="233" t="s">
        <v>309</v>
      </c>
      <c r="C599" s="234" t="s">
        <v>4</v>
      </c>
      <c r="D599" s="235">
        <v>3.79</v>
      </c>
    </row>
    <row r="600" spans="1:6" x14ac:dyDescent="0.25">
      <c r="A600" s="232">
        <v>45853</v>
      </c>
      <c r="B600" s="233" t="s">
        <v>378</v>
      </c>
      <c r="C600" s="234" t="s">
        <v>117</v>
      </c>
      <c r="D600" s="235">
        <v>6.1849999999999996</v>
      </c>
    </row>
    <row r="601" spans="1:6" x14ac:dyDescent="0.25">
      <c r="A601" s="232">
        <v>45853</v>
      </c>
      <c r="B601" s="233" t="s">
        <v>113</v>
      </c>
      <c r="C601" s="234" t="s">
        <v>134</v>
      </c>
      <c r="D601" s="235">
        <v>3.355</v>
      </c>
    </row>
    <row r="602" spans="1:6" x14ac:dyDescent="0.25">
      <c r="A602" s="232">
        <v>45853</v>
      </c>
      <c r="B602" s="233" t="s">
        <v>379</v>
      </c>
      <c r="C602" s="234" t="s">
        <v>127</v>
      </c>
      <c r="D602" s="235">
        <v>3.65</v>
      </c>
    </row>
    <row r="603" spans="1:6" x14ac:dyDescent="0.25">
      <c r="A603" s="232">
        <v>45853</v>
      </c>
      <c r="B603" s="233" t="s">
        <v>683</v>
      </c>
      <c r="C603" s="234" t="s">
        <v>641</v>
      </c>
      <c r="D603" s="235">
        <v>4.47</v>
      </c>
    </row>
    <row r="604" spans="1:6" x14ac:dyDescent="0.25">
      <c r="A604" s="232">
        <v>45853</v>
      </c>
      <c r="B604" s="233" t="s">
        <v>671</v>
      </c>
      <c r="C604" s="234" t="s">
        <v>669</v>
      </c>
      <c r="D604" s="235">
        <v>4.0199999999999996</v>
      </c>
    </row>
    <row r="605" spans="1:6" x14ac:dyDescent="0.25">
      <c r="A605" s="232">
        <v>45853</v>
      </c>
      <c r="B605" s="233" t="s">
        <v>457</v>
      </c>
      <c r="C605" s="234" t="s">
        <v>415</v>
      </c>
      <c r="D605" s="235">
        <v>1.605</v>
      </c>
    </row>
    <row r="606" spans="1:6" x14ac:dyDescent="0.25">
      <c r="A606" s="232">
        <v>45853</v>
      </c>
      <c r="B606" s="233" t="s">
        <v>190</v>
      </c>
      <c r="C606" s="234" t="s">
        <v>203</v>
      </c>
      <c r="D606" s="235">
        <v>3.0449999999999999</v>
      </c>
    </row>
    <row r="607" spans="1:6" x14ac:dyDescent="0.25">
      <c r="A607" s="232">
        <v>45853</v>
      </c>
      <c r="B607" s="233" t="s">
        <v>191</v>
      </c>
      <c r="C607" s="234" t="s">
        <v>204</v>
      </c>
      <c r="D607" s="235">
        <v>1.885</v>
      </c>
    </row>
    <row r="608" spans="1:6" x14ac:dyDescent="0.25">
      <c r="A608" s="232">
        <v>45853</v>
      </c>
      <c r="B608" s="233" t="s">
        <v>185</v>
      </c>
      <c r="C608" s="234" t="s">
        <v>198</v>
      </c>
      <c r="D608" s="235">
        <v>3.34</v>
      </c>
    </row>
    <row r="609" spans="1:6" x14ac:dyDescent="0.25">
      <c r="A609" s="232">
        <v>45853</v>
      </c>
      <c r="B609" s="233" t="s">
        <v>184</v>
      </c>
      <c r="C609" s="234" t="s">
        <v>197</v>
      </c>
      <c r="D609" s="235">
        <v>4.4000000000000004</v>
      </c>
    </row>
    <row r="610" spans="1:6" x14ac:dyDescent="0.25">
      <c r="A610" s="232">
        <v>45853</v>
      </c>
      <c r="B610" s="233" t="s">
        <v>670</v>
      </c>
      <c r="C610" s="234" t="s">
        <v>672</v>
      </c>
      <c r="D610" s="235">
        <v>4.4000000000000004</v>
      </c>
    </row>
    <row r="611" spans="1:6" x14ac:dyDescent="0.25">
      <c r="A611" s="232">
        <v>45853</v>
      </c>
      <c r="B611" s="233" t="s">
        <v>196</v>
      </c>
      <c r="C611" s="234" t="s">
        <v>208</v>
      </c>
      <c r="D611" s="235">
        <v>-0.86499999999999999</v>
      </c>
    </row>
    <row r="612" spans="1:6" x14ac:dyDescent="0.25">
      <c r="A612" s="232">
        <v>45853</v>
      </c>
      <c r="B612" s="233" t="s">
        <v>380</v>
      </c>
      <c r="C612" s="234" t="s">
        <v>410</v>
      </c>
      <c r="D612" s="235">
        <v>6.14</v>
      </c>
    </row>
    <row r="613" spans="1:6" x14ac:dyDescent="0.25">
      <c r="A613" s="232">
        <v>45853</v>
      </c>
      <c r="B613" s="233" t="s">
        <v>689</v>
      </c>
      <c r="C613" s="234" t="s">
        <v>687</v>
      </c>
      <c r="D613" s="235">
        <v>0.505</v>
      </c>
    </row>
    <row r="614" spans="1:6" x14ac:dyDescent="0.25">
      <c r="A614" s="232">
        <v>45853</v>
      </c>
      <c r="B614" s="233" t="s">
        <v>690</v>
      </c>
      <c r="C614" s="234" t="s">
        <v>686</v>
      </c>
      <c r="D614" s="235">
        <v>1.345</v>
      </c>
    </row>
    <row r="615" spans="1:6" x14ac:dyDescent="0.25">
      <c r="A615" s="232">
        <v>45853</v>
      </c>
      <c r="B615" s="233" t="s">
        <v>673</v>
      </c>
      <c r="C615" s="234" t="s">
        <v>688</v>
      </c>
      <c r="D615" s="235">
        <v>3.16</v>
      </c>
      <c r="F615" s="119">
        <f>SUM(D598:D615)</f>
        <v>59.609999999999985</v>
      </c>
    </row>
    <row r="616" spans="1:6" x14ac:dyDescent="0.25">
      <c r="A616" s="232">
        <v>45868</v>
      </c>
      <c r="B616" s="233" t="s">
        <v>304</v>
      </c>
      <c r="C616" s="234" t="s">
        <v>118</v>
      </c>
      <c r="D616" s="235">
        <v>6.2450000000000001</v>
      </c>
    </row>
    <row r="617" spans="1:6" x14ac:dyDescent="0.25">
      <c r="A617" s="232">
        <v>45868</v>
      </c>
      <c r="B617" s="233" t="s">
        <v>309</v>
      </c>
      <c r="C617" s="234" t="s">
        <v>4</v>
      </c>
      <c r="D617" s="235">
        <v>3.83</v>
      </c>
    </row>
    <row r="618" spans="1:6" x14ac:dyDescent="0.25">
      <c r="A618" s="232">
        <v>45868</v>
      </c>
      <c r="B618" s="233" t="s">
        <v>378</v>
      </c>
      <c r="C618" s="234" t="s">
        <v>117</v>
      </c>
      <c r="D618" s="235">
        <v>5.0599999999999996</v>
      </c>
    </row>
    <row r="619" spans="1:6" x14ac:dyDescent="0.25">
      <c r="A619" s="232">
        <v>45868</v>
      </c>
      <c r="B619" s="233" t="s">
        <v>113</v>
      </c>
      <c r="C619" s="234" t="s">
        <v>134</v>
      </c>
      <c r="D619" s="235">
        <v>4.33</v>
      </c>
    </row>
    <row r="620" spans="1:6" x14ac:dyDescent="0.25">
      <c r="A620" s="232">
        <v>45868</v>
      </c>
      <c r="B620" s="233" t="s">
        <v>379</v>
      </c>
      <c r="C620" s="234" t="s">
        <v>127</v>
      </c>
      <c r="D620" s="235">
        <v>3.58</v>
      </c>
    </row>
    <row r="621" spans="1:6" x14ac:dyDescent="0.25">
      <c r="A621" s="232">
        <v>45868</v>
      </c>
      <c r="B621" s="233" t="s">
        <v>683</v>
      </c>
      <c r="C621" s="234" t="s">
        <v>641</v>
      </c>
      <c r="D621" s="235">
        <v>4.6150000000000002</v>
      </c>
    </row>
    <row r="622" spans="1:6" x14ac:dyDescent="0.25">
      <c r="A622" s="232">
        <v>45868</v>
      </c>
      <c r="B622" s="233" t="s">
        <v>671</v>
      </c>
      <c r="C622" s="234" t="s">
        <v>669</v>
      </c>
      <c r="D622" s="235">
        <v>4.335</v>
      </c>
    </row>
    <row r="623" spans="1:6" x14ac:dyDescent="0.25">
      <c r="A623" s="232">
        <v>45868</v>
      </c>
      <c r="B623" s="233" t="s">
        <v>457</v>
      </c>
      <c r="C623" s="234" t="s">
        <v>415</v>
      </c>
      <c r="D623" s="235">
        <v>0</v>
      </c>
    </row>
    <row r="624" spans="1:6" x14ac:dyDescent="0.25">
      <c r="A624" s="232">
        <v>45868</v>
      </c>
      <c r="B624" s="233" t="s">
        <v>190</v>
      </c>
      <c r="C624" s="234" t="s">
        <v>203</v>
      </c>
      <c r="D624" s="235">
        <v>2.94</v>
      </c>
    </row>
    <row r="625" spans="1:6" x14ac:dyDescent="0.25">
      <c r="A625" s="232">
        <v>45868</v>
      </c>
      <c r="B625" s="233" t="s">
        <v>191</v>
      </c>
      <c r="C625" s="234" t="s">
        <v>204</v>
      </c>
      <c r="D625" s="235">
        <v>2.68</v>
      </c>
    </row>
    <row r="626" spans="1:6" x14ac:dyDescent="0.25">
      <c r="A626" s="232">
        <v>45868</v>
      </c>
      <c r="B626" s="233" t="s">
        <v>185</v>
      </c>
      <c r="C626" s="234" t="s">
        <v>198</v>
      </c>
      <c r="D626" s="235">
        <v>3.7650000000000001</v>
      </c>
    </row>
    <row r="627" spans="1:6" x14ac:dyDescent="0.25">
      <c r="A627" s="232">
        <v>45868</v>
      </c>
      <c r="B627" s="233" t="s">
        <v>184</v>
      </c>
      <c r="C627" s="234" t="s">
        <v>197</v>
      </c>
      <c r="D627" s="235">
        <v>4.7850000000000001</v>
      </c>
    </row>
    <row r="628" spans="1:6" x14ac:dyDescent="0.25">
      <c r="A628" s="232">
        <v>45868</v>
      </c>
      <c r="B628" s="233" t="s">
        <v>670</v>
      </c>
      <c r="C628" s="234" t="s">
        <v>672</v>
      </c>
      <c r="D628" s="235">
        <v>3.88</v>
      </c>
    </row>
    <row r="629" spans="1:6" x14ac:dyDescent="0.25">
      <c r="A629" s="232">
        <v>45868</v>
      </c>
      <c r="B629" s="233" t="s">
        <v>196</v>
      </c>
      <c r="C629" s="234" t="s">
        <v>208</v>
      </c>
      <c r="D629" s="235">
        <v>0</v>
      </c>
    </row>
    <row r="630" spans="1:6" x14ac:dyDescent="0.25">
      <c r="A630" s="232">
        <v>45868</v>
      </c>
      <c r="B630" s="233" t="s">
        <v>380</v>
      </c>
      <c r="C630" s="234" t="s">
        <v>410</v>
      </c>
      <c r="D630" s="235">
        <v>5.7149999999999999</v>
      </c>
    </row>
    <row r="631" spans="1:6" x14ac:dyDescent="0.25">
      <c r="A631" s="232">
        <v>45868</v>
      </c>
      <c r="B631" s="233" t="s">
        <v>689</v>
      </c>
      <c r="C631" s="234" t="s">
        <v>687</v>
      </c>
      <c r="D631" s="235">
        <v>5.39</v>
      </c>
    </row>
    <row r="632" spans="1:6" x14ac:dyDescent="0.25">
      <c r="A632" s="232">
        <v>45868</v>
      </c>
      <c r="B632" s="233" t="s">
        <v>690</v>
      </c>
      <c r="C632" s="234" t="s">
        <v>686</v>
      </c>
      <c r="D632" s="235">
        <v>2.56</v>
      </c>
    </row>
    <row r="633" spans="1:6" x14ac:dyDescent="0.25">
      <c r="A633" s="232">
        <v>45868</v>
      </c>
      <c r="B633" s="233" t="s">
        <v>673</v>
      </c>
      <c r="C633" s="234" t="s">
        <v>688</v>
      </c>
      <c r="D633" s="235">
        <v>3.3050000000000002</v>
      </c>
      <c r="F633" s="119">
        <f>SUM(D616:D633)</f>
        <v>67.015000000000001</v>
      </c>
    </row>
    <row r="634" spans="1:6" x14ac:dyDescent="0.25">
      <c r="A634" s="232">
        <v>45884</v>
      </c>
      <c r="B634" s="233" t="s">
        <v>304</v>
      </c>
      <c r="C634" s="234" t="s">
        <v>118</v>
      </c>
      <c r="D634" s="235">
        <v>5.6</v>
      </c>
    </row>
    <row r="635" spans="1:6" x14ac:dyDescent="0.25">
      <c r="A635" s="232">
        <v>45884</v>
      </c>
      <c r="B635" s="233" t="s">
        <v>309</v>
      </c>
      <c r="C635" s="234" t="s">
        <v>4</v>
      </c>
      <c r="D635" s="235">
        <v>3.02</v>
      </c>
    </row>
    <row r="636" spans="1:6" x14ac:dyDescent="0.25">
      <c r="A636" s="232">
        <v>45884</v>
      </c>
      <c r="B636" s="233" t="s">
        <v>378</v>
      </c>
      <c r="C636" s="234" t="s">
        <v>117</v>
      </c>
      <c r="D636" s="235">
        <v>4.0999999999999996</v>
      </c>
    </row>
    <row r="637" spans="1:6" x14ac:dyDescent="0.25">
      <c r="A637" s="232">
        <v>45884</v>
      </c>
      <c r="B637" s="233" t="s">
        <v>113</v>
      </c>
      <c r="C637" s="234" t="s">
        <v>134</v>
      </c>
      <c r="D637" s="235">
        <v>4.09</v>
      </c>
    </row>
    <row r="638" spans="1:6" x14ac:dyDescent="0.25">
      <c r="A638" s="232">
        <v>45884</v>
      </c>
      <c r="B638" s="233" t="s">
        <v>379</v>
      </c>
      <c r="C638" s="234" t="s">
        <v>127</v>
      </c>
      <c r="D638" s="235">
        <v>3.4750000000000001</v>
      </c>
    </row>
    <row r="639" spans="1:6" x14ac:dyDescent="0.25">
      <c r="A639" s="232">
        <v>45884</v>
      </c>
      <c r="B639" s="233" t="s">
        <v>683</v>
      </c>
      <c r="C639" s="234" t="s">
        <v>641</v>
      </c>
      <c r="D639" s="235">
        <v>4.4139999999999997</v>
      </c>
    </row>
    <row r="640" spans="1:6" x14ac:dyDescent="0.25">
      <c r="A640" s="232">
        <v>45884</v>
      </c>
      <c r="B640" s="233" t="s">
        <v>671</v>
      </c>
      <c r="C640" s="234" t="s">
        <v>669</v>
      </c>
      <c r="D640" s="235">
        <v>3.88</v>
      </c>
    </row>
    <row r="641" spans="1:6" x14ac:dyDescent="0.25">
      <c r="A641" s="232">
        <v>45884</v>
      </c>
      <c r="B641" s="233" t="s">
        <v>457</v>
      </c>
      <c r="C641" s="234" t="s">
        <v>415</v>
      </c>
      <c r="D641" s="235">
        <v>0</v>
      </c>
    </row>
    <row r="642" spans="1:6" x14ac:dyDescent="0.25">
      <c r="A642" s="232">
        <v>45884</v>
      </c>
      <c r="B642" s="233" t="s">
        <v>190</v>
      </c>
      <c r="C642" s="234" t="s">
        <v>203</v>
      </c>
      <c r="D642" s="235">
        <v>2.91</v>
      </c>
    </row>
    <row r="643" spans="1:6" x14ac:dyDescent="0.25">
      <c r="A643" s="232">
        <v>45884</v>
      </c>
      <c r="B643" s="233" t="s">
        <v>191</v>
      </c>
      <c r="C643" s="234" t="s">
        <v>204</v>
      </c>
      <c r="D643" s="235">
        <v>2.2200000000000002</v>
      </c>
    </row>
    <row r="644" spans="1:6" x14ac:dyDescent="0.25">
      <c r="A644" s="232">
        <v>45884</v>
      </c>
      <c r="B644" s="233" t="s">
        <v>185</v>
      </c>
      <c r="C644" s="234" t="s">
        <v>198</v>
      </c>
      <c r="D644" s="235">
        <v>4.1500000000000004</v>
      </c>
    </row>
    <row r="645" spans="1:6" x14ac:dyDescent="0.25">
      <c r="A645" s="232">
        <v>45884</v>
      </c>
      <c r="B645" s="233" t="s">
        <v>184</v>
      </c>
      <c r="C645" s="234" t="s">
        <v>197</v>
      </c>
      <c r="D645" s="235">
        <v>3.63</v>
      </c>
    </row>
    <row r="646" spans="1:6" x14ac:dyDescent="0.25">
      <c r="A646" s="232">
        <v>45884</v>
      </c>
      <c r="B646" s="233" t="s">
        <v>670</v>
      </c>
      <c r="C646" s="234" t="s">
        <v>672</v>
      </c>
      <c r="D646" s="235">
        <v>4.1900000000000004</v>
      </c>
    </row>
    <row r="647" spans="1:6" x14ac:dyDescent="0.25">
      <c r="A647" s="232">
        <v>45884</v>
      </c>
      <c r="B647" s="233" t="s">
        <v>196</v>
      </c>
      <c r="C647" s="234" t="s">
        <v>208</v>
      </c>
      <c r="D647" s="235">
        <v>0</v>
      </c>
    </row>
    <row r="648" spans="1:6" x14ac:dyDescent="0.25">
      <c r="A648" s="232">
        <v>45884</v>
      </c>
      <c r="B648" s="233" t="s">
        <v>380</v>
      </c>
      <c r="C648" s="234" t="s">
        <v>410</v>
      </c>
      <c r="D648" s="235">
        <v>5.0350000000000001</v>
      </c>
    </row>
    <row r="649" spans="1:6" x14ac:dyDescent="0.25">
      <c r="A649" s="232">
        <v>45884</v>
      </c>
      <c r="B649" s="233" t="s">
        <v>689</v>
      </c>
      <c r="C649" s="234" t="s">
        <v>687</v>
      </c>
      <c r="D649" s="235">
        <v>4.6399999999999997</v>
      </c>
    </row>
    <row r="650" spans="1:6" x14ac:dyDescent="0.25">
      <c r="A650" s="232">
        <v>45884</v>
      </c>
      <c r="B650" s="233" t="s">
        <v>690</v>
      </c>
      <c r="C650" s="234" t="s">
        <v>686</v>
      </c>
      <c r="D650" s="235">
        <v>2.98</v>
      </c>
    </row>
    <row r="651" spans="1:6" x14ac:dyDescent="0.25">
      <c r="A651" s="232">
        <v>45884</v>
      </c>
      <c r="B651" s="233" t="s">
        <v>673</v>
      </c>
      <c r="C651" s="234" t="s">
        <v>688</v>
      </c>
      <c r="D651" s="235">
        <v>3.1930000000000001</v>
      </c>
    </row>
    <row r="652" spans="1:6" s="574" customFormat="1" x14ac:dyDescent="0.25">
      <c r="A652" s="570">
        <v>45884</v>
      </c>
      <c r="B652" s="571" t="s">
        <v>643</v>
      </c>
      <c r="C652" s="572" t="s">
        <v>713</v>
      </c>
      <c r="D652" s="573">
        <v>5.19</v>
      </c>
      <c r="F652" s="575">
        <f>SUM(D634:D652)</f>
        <v>66.716999999999999</v>
      </c>
    </row>
    <row r="653" spans="1:6" x14ac:dyDescent="0.25">
      <c r="A653" s="232">
        <v>45899</v>
      </c>
      <c r="B653" s="233" t="s">
        <v>304</v>
      </c>
      <c r="C653" s="234" t="s">
        <v>118</v>
      </c>
      <c r="D653" s="235">
        <v>5.5149999999999997</v>
      </c>
    </row>
    <row r="654" spans="1:6" x14ac:dyDescent="0.25">
      <c r="A654" s="232">
        <v>45899</v>
      </c>
      <c r="B654" s="233" t="s">
        <v>309</v>
      </c>
      <c r="C654" s="234" t="s">
        <v>4</v>
      </c>
      <c r="D654" s="235">
        <v>3.1</v>
      </c>
    </row>
    <row r="655" spans="1:6" x14ac:dyDescent="0.25">
      <c r="A655" s="232">
        <v>45899</v>
      </c>
      <c r="B655" s="233" t="s">
        <v>378</v>
      </c>
      <c r="C655" s="234" t="s">
        <v>117</v>
      </c>
      <c r="D655" s="235">
        <v>3.07</v>
      </c>
    </row>
    <row r="656" spans="1:6" x14ac:dyDescent="0.25">
      <c r="A656" s="232">
        <v>45899</v>
      </c>
      <c r="B656" s="233" t="s">
        <v>113</v>
      </c>
      <c r="C656" s="234" t="s">
        <v>134</v>
      </c>
      <c r="D656" s="235">
        <v>3.7349999999999999</v>
      </c>
    </row>
    <row r="657" spans="1:6" x14ac:dyDescent="0.25">
      <c r="A657" s="232">
        <v>45899</v>
      </c>
      <c r="B657" s="233" t="s">
        <v>379</v>
      </c>
      <c r="C657" s="234" t="s">
        <v>127</v>
      </c>
      <c r="D657" s="235">
        <v>2.3650000000000002</v>
      </c>
    </row>
    <row r="658" spans="1:6" x14ac:dyDescent="0.25">
      <c r="A658" s="232">
        <v>45899</v>
      </c>
      <c r="B658" s="233" t="s">
        <v>683</v>
      </c>
      <c r="C658" s="234" t="s">
        <v>641</v>
      </c>
      <c r="D658" s="235">
        <v>3.4550000000000001</v>
      </c>
    </row>
    <row r="659" spans="1:6" x14ac:dyDescent="0.25">
      <c r="A659" s="232">
        <v>45899</v>
      </c>
      <c r="B659" s="233" t="s">
        <v>671</v>
      </c>
      <c r="C659" s="234" t="s">
        <v>669</v>
      </c>
      <c r="D659" s="235">
        <v>4.0149999999999997</v>
      </c>
    </row>
    <row r="660" spans="1:6" x14ac:dyDescent="0.25">
      <c r="A660" s="232">
        <v>45899</v>
      </c>
      <c r="B660" s="233" t="s">
        <v>457</v>
      </c>
      <c r="C660" s="234" t="s">
        <v>415</v>
      </c>
      <c r="D660" s="235">
        <v>0</v>
      </c>
    </row>
    <row r="661" spans="1:6" x14ac:dyDescent="0.25">
      <c r="A661" s="232">
        <v>45899</v>
      </c>
      <c r="B661" s="233" t="s">
        <v>190</v>
      </c>
      <c r="C661" s="234" t="s">
        <v>203</v>
      </c>
      <c r="D661" s="235">
        <v>2.2749999999999999</v>
      </c>
    </row>
    <row r="662" spans="1:6" x14ac:dyDescent="0.25">
      <c r="A662" s="232">
        <v>45899</v>
      </c>
      <c r="B662" s="233" t="s">
        <v>191</v>
      </c>
      <c r="C662" s="234" t="s">
        <v>204</v>
      </c>
      <c r="D662" s="235">
        <v>1.92</v>
      </c>
    </row>
    <row r="663" spans="1:6" x14ac:dyDescent="0.25">
      <c r="A663" s="232">
        <v>45899</v>
      </c>
      <c r="B663" s="233" t="s">
        <v>185</v>
      </c>
      <c r="C663" s="234" t="s">
        <v>198</v>
      </c>
      <c r="D663" s="235">
        <v>3.7949999999999999</v>
      </c>
    </row>
    <row r="664" spans="1:6" x14ac:dyDescent="0.25">
      <c r="A664" s="232">
        <v>45899</v>
      </c>
      <c r="B664" s="233" t="s">
        <v>184</v>
      </c>
      <c r="C664" s="234" t="s">
        <v>197</v>
      </c>
      <c r="D664" s="235">
        <v>3.36</v>
      </c>
    </row>
    <row r="665" spans="1:6" x14ac:dyDescent="0.25">
      <c r="A665" s="232">
        <v>45899</v>
      </c>
      <c r="B665" s="233" t="s">
        <v>670</v>
      </c>
      <c r="C665" s="234" t="s">
        <v>672</v>
      </c>
      <c r="D665" s="235">
        <v>3.97</v>
      </c>
    </row>
    <row r="666" spans="1:6" x14ac:dyDescent="0.25">
      <c r="A666" s="232">
        <v>45899</v>
      </c>
      <c r="B666" s="233" t="s">
        <v>196</v>
      </c>
      <c r="C666" s="234" t="s">
        <v>208</v>
      </c>
      <c r="D666" s="235">
        <v>6.62</v>
      </c>
    </row>
    <row r="667" spans="1:6" x14ac:dyDescent="0.25">
      <c r="A667" s="232">
        <v>45899</v>
      </c>
      <c r="B667" s="233" t="s">
        <v>380</v>
      </c>
      <c r="C667" s="234" t="s">
        <v>410</v>
      </c>
      <c r="D667" s="235">
        <v>4.625</v>
      </c>
    </row>
    <row r="668" spans="1:6" x14ac:dyDescent="0.25">
      <c r="A668" s="232">
        <v>45899</v>
      </c>
      <c r="B668" s="233" t="s">
        <v>689</v>
      </c>
      <c r="C668" s="234" t="s">
        <v>687</v>
      </c>
      <c r="D668" s="235">
        <v>3.36</v>
      </c>
    </row>
    <row r="669" spans="1:6" x14ac:dyDescent="0.25">
      <c r="A669" s="232">
        <v>45899</v>
      </c>
      <c r="B669" s="233" t="s">
        <v>690</v>
      </c>
      <c r="C669" s="234" t="s">
        <v>686</v>
      </c>
      <c r="D669" s="235">
        <v>2.915</v>
      </c>
    </row>
    <row r="670" spans="1:6" x14ac:dyDescent="0.25">
      <c r="A670" s="232">
        <v>45899</v>
      </c>
      <c r="B670" s="233" t="s">
        <v>673</v>
      </c>
      <c r="C670" s="234" t="s">
        <v>688</v>
      </c>
      <c r="D670" s="235">
        <v>2.415</v>
      </c>
    </row>
    <row r="671" spans="1:6" x14ac:dyDescent="0.25">
      <c r="A671" s="232">
        <v>45899</v>
      </c>
      <c r="B671" s="571" t="s">
        <v>643</v>
      </c>
      <c r="C671" s="572" t="s">
        <v>713</v>
      </c>
      <c r="D671" s="573">
        <v>4.26</v>
      </c>
    </row>
    <row r="672" spans="1:6" x14ac:dyDescent="0.25">
      <c r="A672" s="232">
        <v>45899</v>
      </c>
      <c r="B672" s="233" t="s">
        <v>730</v>
      </c>
      <c r="C672" s="234" t="s">
        <v>729</v>
      </c>
      <c r="D672" s="235">
        <v>1.0149999999999999</v>
      </c>
      <c r="F672" s="119">
        <f>SUM(D653:D672)</f>
        <v>65.784999999999997</v>
      </c>
    </row>
    <row r="673" spans="1:6" x14ac:dyDescent="0.25">
      <c r="A673" s="232">
        <v>45915</v>
      </c>
      <c r="B673" s="233" t="s">
        <v>304</v>
      </c>
      <c r="C673" s="234" t="s">
        <v>118</v>
      </c>
      <c r="D673" s="235">
        <v>5.21</v>
      </c>
    </row>
    <row r="674" spans="1:6" x14ac:dyDescent="0.25">
      <c r="A674" s="232">
        <v>45915</v>
      </c>
      <c r="B674" s="233" t="s">
        <v>309</v>
      </c>
      <c r="C674" s="234" t="s">
        <v>4</v>
      </c>
      <c r="D674" s="235">
        <v>2.8250000000000002</v>
      </c>
    </row>
    <row r="675" spans="1:6" x14ac:dyDescent="0.25">
      <c r="A675" s="232">
        <v>45915</v>
      </c>
      <c r="B675" s="233" t="s">
        <v>378</v>
      </c>
      <c r="C675" s="234" t="s">
        <v>117</v>
      </c>
      <c r="D675" s="235">
        <v>3.2250000000000001</v>
      </c>
    </row>
    <row r="676" spans="1:6" x14ac:dyDescent="0.25">
      <c r="A676" s="232">
        <v>45915</v>
      </c>
      <c r="B676" s="233" t="s">
        <v>113</v>
      </c>
      <c r="C676" s="234" t="s">
        <v>134</v>
      </c>
      <c r="D676" s="235">
        <v>2.0499999999999998</v>
      </c>
    </row>
    <row r="677" spans="1:6" x14ac:dyDescent="0.25">
      <c r="A677" s="232">
        <v>45915</v>
      </c>
      <c r="B677" s="233" t="s">
        <v>379</v>
      </c>
      <c r="C677" s="234" t="s">
        <v>127</v>
      </c>
      <c r="D677" s="235">
        <v>2.62</v>
      </c>
    </row>
    <row r="678" spans="1:6" x14ac:dyDescent="0.25">
      <c r="A678" s="232">
        <v>45915</v>
      </c>
      <c r="B678" s="233" t="s">
        <v>683</v>
      </c>
      <c r="C678" s="234" t="s">
        <v>641</v>
      </c>
      <c r="D678" s="235">
        <v>3.83</v>
      </c>
    </row>
    <row r="679" spans="1:6" x14ac:dyDescent="0.25">
      <c r="A679" s="232">
        <v>45915</v>
      </c>
      <c r="B679" s="233" t="s">
        <v>671</v>
      </c>
      <c r="C679" s="234" t="s">
        <v>669</v>
      </c>
      <c r="D679" s="235">
        <v>3.645</v>
      </c>
    </row>
    <row r="680" spans="1:6" x14ac:dyDescent="0.25">
      <c r="A680" s="232">
        <v>45915</v>
      </c>
      <c r="B680" s="233" t="s">
        <v>457</v>
      </c>
      <c r="C680" s="234" t="s">
        <v>415</v>
      </c>
      <c r="D680" s="235">
        <v>0</v>
      </c>
    </row>
    <row r="681" spans="1:6" x14ac:dyDescent="0.25">
      <c r="A681" s="232">
        <v>45915</v>
      </c>
      <c r="B681" s="233" t="s">
        <v>190</v>
      </c>
      <c r="C681" s="234" t="s">
        <v>203</v>
      </c>
      <c r="D681" s="235">
        <v>2.36</v>
      </c>
      <c r="F681" s="1" t="s">
        <v>732</v>
      </c>
    </row>
    <row r="682" spans="1:6" x14ac:dyDescent="0.25">
      <c r="A682" s="232">
        <v>45915</v>
      </c>
      <c r="B682" s="233" t="s">
        <v>191</v>
      </c>
      <c r="C682" s="234" t="s">
        <v>204</v>
      </c>
      <c r="D682" s="235">
        <v>1.63</v>
      </c>
      <c r="F682" s="1" t="s">
        <v>732</v>
      </c>
    </row>
    <row r="683" spans="1:6" x14ac:dyDescent="0.25">
      <c r="A683" s="232">
        <v>45915</v>
      </c>
      <c r="B683" s="233" t="s">
        <v>184</v>
      </c>
      <c r="C683" s="234" t="s">
        <v>197</v>
      </c>
      <c r="D683" s="235">
        <v>3.3</v>
      </c>
      <c r="F683" s="1" t="s">
        <v>732</v>
      </c>
    </row>
    <row r="684" spans="1:6" x14ac:dyDescent="0.25">
      <c r="A684" s="232">
        <v>45915</v>
      </c>
      <c r="B684" s="233" t="s">
        <v>670</v>
      </c>
      <c r="C684" s="234" t="s">
        <v>672</v>
      </c>
      <c r="D684" s="235">
        <v>3.4</v>
      </c>
    </row>
    <row r="685" spans="1:6" x14ac:dyDescent="0.25">
      <c r="A685" s="232">
        <v>45915</v>
      </c>
      <c r="B685" s="233" t="s">
        <v>196</v>
      </c>
      <c r="C685" s="234" t="s">
        <v>208</v>
      </c>
      <c r="D685" s="235">
        <v>4.875</v>
      </c>
    </row>
    <row r="686" spans="1:6" x14ac:dyDescent="0.25">
      <c r="A686" s="232">
        <v>45915</v>
      </c>
      <c r="B686" s="233" t="s">
        <v>380</v>
      </c>
      <c r="C686" s="234" t="s">
        <v>410</v>
      </c>
      <c r="D686" s="235">
        <v>4.6900000000000004</v>
      </c>
    </row>
    <row r="687" spans="1:6" x14ac:dyDescent="0.25">
      <c r="A687" s="232">
        <v>45915</v>
      </c>
      <c r="B687" s="233" t="s">
        <v>689</v>
      </c>
      <c r="C687" s="234" t="s">
        <v>687</v>
      </c>
      <c r="D687" s="235">
        <v>3.7</v>
      </c>
    </row>
    <row r="688" spans="1:6" x14ac:dyDescent="0.25">
      <c r="A688" s="232">
        <v>45915</v>
      </c>
      <c r="B688" s="233" t="s">
        <v>690</v>
      </c>
      <c r="C688" s="234" t="s">
        <v>686</v>
      </c>
      <c r="D688" s="235">
        <v>2.9249999999999998</v>
      </c>
    </row>
    <row r="689" spans="1:6" x14ac:dyDescent="0.25">
      <c r="A689" s="232">
        <v>45915</v>
      </c>
      <c r="B689" s="233" t="s">
        <v>673</v>
      </c>
      <c r="C689" s="234" t="s">
        <v>688</v>
      </c>
      <c r="D689" s="235">
        <v>2.65</v>
      </c>
    </row>
    <row r="690" spans="1:6" x14ac:dyDescent="0.25">
      <c r="A690" s="232">
        <v>45915</v>
      </c>
      <c r="B690" s="571" t="s">
        <v>643</v>
      </c>
      <c r="C690" s="572" t="s">
        <v>713</v>
      </c>
      <c r="D690" s="573">
        <v>4.05</v>
      </c>
    </row>
    <row r="691" spans="1:6" x14ac:dyDescent="0.25">
      <c r="A691" s="232">
        <v>45915</v>
      </c>
      <c r="B691" s="233" t="s">
        <v>730</v>
      </c>
      <c r="C691" s="234" t="s">
        <v>729</v>
      </c>
      <c r="D691" s="235">
        <v>2.8450000000000002</v>
      </c>
      <c r="F691" s="119">
        <f>SUM(D673:D691)</f>
        <v>59.829999999999991</v>
      </c>
    </row>
    <row r="692" spans="1:6" x14ac:dyDescent="0.25">
      <c r="A692" s="232">
        <v>45930</v>
      </c>
      <c r="B692" s="233" t="s">
        <v>304</v>
      </c>
      <c r="C692" s="234" t="s">
        <v>118</v>
      </c>
      <c r="D692" s="235">
        <v>6</v>
      </c>
    </row>
    <row r="693" spans="1:6" x14ac:dyDescent="0.25">
      <c r="A693" s="232">
        <v>45930</v>
      </c>
      <c r="B693" s="233" t="s">
        <v>309</v>
      </c>
      <c r="C693" s="234" t="s">
        <v>4</v>
      </c>
      <c r="D693" s="235">
        <v>3.125</v>
      </c>
    </row>
    <row r="694" spans="1:6" x14ac:dyDescent="0.25">
      <c r="A694" s="232">
        <v>45930</v>
      </c>
      <c r="B694" s="233" t="s">
        <v>378</v>
      </c>
      <c r="C694" s="234" t="s">
        <v>117</v>
      </c>
      <c r="D694" s="235">
        <v>3.17</v>
      </c>
    </row>
    <row r="695" spans="1:6" x14ac:dyDescent="0.25">
      <c r="A695" s="232">
        <v>45930</v>
      </c>
      <c r="B695" s="233" t="s">
        <v>113</v>
      </c>
      <c r="C695" s="234" t="s">
        <v>134</v>
      </c>
      <c r="D695" s="235">
        <v>0</v>
      </c>
    </row>
    <row r="696" spans="1:6" x14ac:dyDescent="0.25">
      <c r="A696" s="232">
        <v>45930</v>
      </c>
      <c r="B696" s="233" t="s">
        <v>379</v>
      </c>
      <c r="C696" s="234" t="s">
        <v>127</v>
      </c>
      <c r="D696" s="235">
        <v>3.3250000000000002</v>
      </c>
    </row>
    <row r="697" spans="1:6" x14ac:dyDescent="0.25">
      <c r="A697" s="232">
        <v>45930</v>
      </c>
      <c r="B697" s="233" t="s">
        <v>683</v>
      </c>
      <c r="C697" s="234" t="s">
        <v>641</v>
      </c>
      <c r="D697" s="235">
        <v>4.0549999999999997</v>
      </c>
    </row>
    <row r="698" spans="1:6" x14ac:dyDescent="0.25">
      <c r="A698" s="232">
        <v>45930</v>
      </c>
      <c r="B698" s="233" t="s">
        <v>671</v>
      </c>
      <c r="C698" s="234" t="s">
        <v>669</v>
      </c>
      <c r="D698" s="235">
        <v>4.3049999999999997</v>
      </c>
    </row>
    <row r="699" spans="1:6" x14ac:dyDescent="0.25">
      <c r="A699" s="232">
        <v>45930</v>
      </c>
      <c r="B699" s="233" t="s">
        <v>457</v>
      </c>
      <c r="C699" s="234" t="s">
        <v>415</v>
      </c>
      <c r="D699" s="235">
        <v>3.9049999999999998</v>
      </c>
    </row>
    <row r="700" spans="1:6" x14ac:dyDescent="0.25">
      <c r="A700" s="232">
        <v>45930</v>
      </c>
      <c r="B700" s="233" t="s">
        <v>190</v>
      </c>
      <c r="C700" s="234" t="s">
        <v>203</v>
      </c>
      <c r="D700" s="235">
        <v>0</v>
      </c>
    </row>
    <row r="701" spans="1:6" x14ac:dyDescent="0.25">
      <c r="A701" s="232">
        <v>45930</v>
      </c>
      <c r="B701" s="233" t="s">
        <v>191</v>
      </c>
      <c r="C701" s="234" t="s">
        <v>204</v>
      </c>
      <c r="D701" s="235">
        <v>0</v>
      </c>
    </row>
    <row r="702" spans="1:6" x14ac:dyDescent="0.25">
      <c r="A702" s="232">
        <v>45930</v>
      </c>
      <c r="B702" s="233" t="s">
        <v>184</v>
      </c>
      <c r="C702" s="234" t="s">
        <v>197</v>
      </c>
      <c r="D702" s="235">
        <v>0</v>
      </c>
    </row>
    <row r="703" spans="1:6" x14ac:dyDescent="0.25">
      <c r="A703" s="232">
        <v>45930</v>
      </c>
      <c r="B703" s="233" t="s">
        <v>670</v>
      </c>
      <c r="C703" s="234" t="s">
        <v>672</v>
      </c>
      <c r="D703" s="235">
        <v>3.19</v>
      </c>
    </row>
    <row r="704" spans="1:6" x14ac:dyDescent="0.25">
      <c r="A704" s="232">
        <v>45930</v>
      </c>
      <c r="B704" s="233" t="s">
        <v>196</v>
      </c>
      <c r="C704" s="234" t="s">
        <v>208</v>
      </c>
      <c r="D704" s="235">
        <v>4.9000000000000004</v>
      </c>
    </row>
    <row r="705" spans="1:6" x14ac:dyDescent="0.25">
      <c r="A705" s="232">
        <v>45930</v>
      </c>
      <c r="B705" s="233" t="s">
        <v>380</v>
      </c>
      <c r="C705" s="234" t="s">
        <v>410</v>
      </c>
      <c r="D705" s="235">
        <v>4.415</v>
      </c>
    </row>
    <row r="706" spans="1:6" x14ac:dyDescent="0.25">
      <c r="A706" s="232">
        <v>45930</v>
      </c>
      <c r="B706" s="233" t="s">
        <v>689</v>
      </c>
      <c r="C706" s="234" t="s">
        <v>687</v>
      </c>
      <c r="D706" s="235">
        <v>4.0199999999999996</v>
      </c>
    </row>
    <row r="707" spans="1:6" x14ac:dyDescent="0.25">
      <c r="A707" s="232">
        <v>45930</v>
      </c>
      <c r="B707" s="233" t="s">
        <v>690</v>
      </c>
      <c r="C707" s="234" t="s">
        <v>686</v>
      </c>
      <c r="D707" s="235">
        <v>3.5249999999999999</v>
      </c>
    </row>
    <row r="708" spans="1:6" x14ac:dyDescent="0.25">
      <c r="A708" s="232">
        <v>45930</v>
      </c>
      <c r="B708" s="233" t="s">
        <v>673</v>
      </c>
      <c r="C708" s="234" t="s">
        <v>688</v>
      </c>
      <c r="D708" s="235">
        <v>3.02</v>
      </c>
    </row>
    <row r="709" spans="1:6" x14ac:dyDescent="0.25">
      <c r="A709" s="232">
        <v>45930</v>
      </c>
      <c r="B709" s="571" t="s">
        <v>643</v>
      </c>
      <c r="C709" s="572" t="s">
        <v>713</v>
      </c>
      <c r="D709" s="573">
        <v>3.835</v>
      </c>
    </row>
    <row r="710" spans="1:6" x14ac:dyDescent="0.25">
      <c r="A710" s="232">
        <v>45930</v>
      </c>
      <c r="B710" s="233" t="s">
        <v>730</v>
      </c>
      <c r="C710" s="234" t="s">
        <v>729</v>
      </c>
      <c r="D710" s="235">
        <v>3.34</v>
      </c>
      <c r="F710" s="119">
        <f>SUM(D692:D710)</f>
        <v>58.129999999999995</v>
      </c>
    </row>
    <row r="711" spans="1:6" x14ac:dyDescent="0.25">
      <c r="A711" s="232">
        <v>45945</v>
      </c>
      <c r="B711" s="233" t="s">
        <v>304</v>
      </c>
      <c r="C711" s="234" t="s">
        <v>118</v>
      </c>
      <c r="D711" s="235">
        <v>6.0449999999999999</v>
      </c>
    </row>
    <row r="712" spans="1:6" x14ac:dyDescent="0.25">
      <c r="A712" s="232">
        <v>45945</v>
      </c>
      <c r="B712" s="233" t="s">
        <v>309</v>
      </c>
      <c r="C712" s="234" t="s">
        <v>4</v>
      </c>
      <c r="D712" s="235">
        <v>2.65</v>
      </c>
    </row>
    <row r="713" spans="1:6" x14ac:dyDescent="0.25">
      <c r="A713" s="232">
        <v>45945</v>
      </c>
      <c r="B713" s="233" t="s">
        <v>378</v>
      </c>
      <c r="C713" s="234" t="s">
        <v>117</v>
      </c>
      <c r="D713" s="235">
        <v>0.77</v>
      </c>
    </row>
    <row r="714" spans="1:6" x14ac:dyDescent="0.25">
      <c r="A714" s="232">
        <v>45945</v>
      </c>
      <c r="B714" s="233" t="s">
        <v>113</v>
      </c>
      <c r="C714" s="234" t="s">
        <v>134</v>
      </c>
      <c r="D714" s="235">
        <v>0</v>
      </c>
    </row>
    <row r="715" spans="1:6" x14ac:dyDescent="0.25">
      <c r="A715" s="232">
        <v>45945</v>
      </c>
      <c r="B715" s="233" t="s">
        <v>379</v>
      </c>
      <c r="C715" s="234" t="s">
        <v>127</v>
      </c>
      <c r="D715" s="235">
        <v>2.395</v>
      </c>
    </row>
    <row r="716" spans="1:6" x14ac:dyDescent="0.25">
      <c r="A716" s="232">
        <v>45945</v>
      </c>
      <c r="B716" s="233" t="s">
        <v>683</v>
      </c>
      <c r="C716" s="234" t="s">
        <v>641</v>
      </c>
      <c r="D716" s="235">
        <v>4.3499999999999996</v>
      </c>
    </row>
    <row r="717" spans="1:6" x14ac:dyDescent="0.25">
      <c r="A717" s="232">
        <v>45945</v>
      </c>
      <c r="B717" s="233" t="s">
        <v>671</v>
      </c>
      <c r="C717" s="234" t="s">
        <v>669</v>
      </c>
      <c r="D717" s="235">
        <v>3.645</v>
      </c>
    </row>
    <row r="718" spans="1:6" x14ac:dyDescent="0.25">
      <c r="A718" s="232">
        <v>45945</v>
      </c>
      <c r="B718" s="233" t="s">
        <v>457</v>
      </c>
      <c r="C718" s="234" t="s">
        <v>415</v>
      </c>
      <c r="D718" s="235">
        <v>3.6949999999999998</v>
      </c>
    </row>
    <row r="719" spans="1:6" x14ac:dyDescent="0.25">
      <c r="A719" s="232">
        <v>45945</v>
      </c>
      <c r="B719" s="233" t="s">
        <v>190</v>
      </c>
      <c r="C719" s="234" t="s">
        <v>203</v>
      </c>
      <c r="D719" s="235">
        <v>0</v>
      </c>
    </row>
    <row r="720" spans="1:6" x14ac:dyDescent="0.25">
      <c r="A720" s="232">
        <v>45945</v>
      </c>
      <c r="B720" s="233" t="s">
        <v>191</v>
      </c>
      <c r="C720" s="234" t="s">
        <v>204</v>
      </c>
      <c r="D720" s="235">
        <v>0</v>
      </c>
    </row>
    <row r="721" spans="1:6" x14ac:dyDescent="0.25">
      <c r="A721" s="232">
        <v>45945</v>
      </c>
      <c r="B721" s="233" t="s">
        <v>184</v>
      </c>
      <c r="C721" s="234" t="s">
        <v>197</v>
      </c>
      <c r="D721" s="235">
        <v>0</v>
      </c>
    </row>
    <row r="722" spans="1:6" x14ac:dyDescent="0.25">
      <c r="A722" s="232">
        <v>45945</v>
      </c>
      <c r="B722" s="233" t="s">
        <v>670</v>
      </c>
      <c r="C722" s="234" t="s">
        <v>672</v>
      </c>
      <c r="D722" s="235">
        <v>2.72</v>
      </c>
    </row>
    <row r="723" spans="1:6" x14ac:dyDescent="0.25">
      <c r="A723" s="232">
        <v>45945</v>
      </c>
      <c r="B723" s="233" t="s">
        <v>196</v>
      </c>
      <c r="C723" s="234" t="s">
        <v>208</v>
      </c>
      <c r="D723" s="235">
        <v>5.5549999999999997</v>
      </c>
    </row>
    <row r="724" spans="1:6" x14ac:dyDescent="0.25">
      <c r="A724" s="232">
        <v>45945</v>
      </c>
      <c r="B724" s="233" t="s">
        <v>380</v>
      </c>
      <c r="C724" s="234" t="s">
        <v>410</v>
      </c>
      <c r="D724" s="235">
        <v>4.01</v>
      </c>
    </row>
    <row r="725" spans="1:6" x14ac:dyDescent="0.25">
      <c r="A725" s="232">
        <v>45945</v>
      </c>
      <c r="B725" s="233" t="s">
        <v>689</v>
      </c>
      <c r="C725" s="234" t="s">
        <v>687</v>
      </c>
      <c r="D725" s="235">
        <v>4.7949999999999999</v>
      </c>
    </row>
    <row r="726" spans="1:6" x14ac:dyDescent="0.25">
      <c r="A726" s="232">
        <v>45945</v>
      </c>
      <c r="B726" s="233" t="s">
        <v>690</v>
      </c>
      <c r="C726" s="234" t="s">
        <v>686</v>
      </c>
      <c r="D726" s="235">
        <v>3.5950000000000002</v>
      </c>
    </row>
    <row r="727" spans="1:6" x14ac:dyDescent="0.25">
      <c r="A727" s="232">
        <v>45945</v>
      </c>
      <c r="B727" s="233" t="s">
        <v>673</v>
      </c>
      <c r="C727" s="234" t="s">
        <v>688</v>
      </c>
      <c r="D727" s="235">
        <v>3.355</v>
      </c>
    </row>
    <row r="728" spans="1:6" x14ac:dyDescent="0.25">
      <c r="A728" s="232">
        <v>45945</v>
      </c>
      <c r="B728" s="571" t="s">
        <v>643</v>
      </c>
      <c r="C728" s="572" t="s">
        <v>713</v>
      </c>
      <c r="D728" s="573">
        <v>3.97</v>
      </c>
    </row>
    <row r="729" spans="1:6" x14ac:dyDescent="0.25">
      <c r="A729" s="232">
        <v>45945</v>
      </c>
      <c r="B729" s="571" t="s">
        <v>736</v>
      </c>
      <c r="C729" s="572" t="s">
        <v>739</v>
      </c>
      <c r="D729" s="573">
        <v>3.0150000000000001</v>
      </c>
    </row>
    <row r="730" spans="1:6" x14ac:dyDescent="0.25">
      <c r="A730" s="232">
        <v>45945</v>
      </c>
      <c r="B730" s="233" t="s">
        <v>730</v>
      </c>
      <c r="C730" s="234" t="s">
        <v>729</v>
      </c>
      <c r="D730" s="235">
        <v>3.12</v>
      </c>
      <c r="F730" s="119">
        <f>SUM(D711:D730)</f>
        <v>57.684999999999995</v>
      </c>
    </row>
    <row r="731" spans="1:6" x14ac:dyDescent="0.25">
      <c r="A731" s="232">
        <v>45960</v>
      </c>
      <c r="B731" s="233" t="s">
        <v>304</v>
      </c>
      <c r="C731" s="234" t="s">
        <v>118</v>
      </c>
      <c r="D731" s="235">
        <v>4.375</v>
      </c>
    </row>
    <row r="732" spans="1:6" x14ac:dyDescent="0.25">
      <c r="A732" s="232">
        <v>45960</v>
      </c>
      <c r="B732" s="233" t="s">
        <v>309</v>
      </c>
      <c r="C732" s="234" t="s">
        <v>4</v>
      </c>
      <c r="D732" s="235">
        <v>1.375</v>
      </c>
    </row>
    <row r="733" spans="1:6" x14ac:dyDescent="0.25">
      <c r="A733" s="232">
        <v>45960</v>
      </c>
      <c r="B733" s="233" t="s">
        <v>378</v>
      </c>
      <c r="C733" s="234" t="s">
        <v>117</v>
      </c>
      <c r="D733" s="235">
        <v>4.9950000000000001</v>
      </c>
    </row>
    <row r="734" spans="1:6" x14ac:dyDescent="0.25">
      <c r="A734" s="232">
        <v>45960</v>
      </c>
      <c r="B734" s="233" t="s">
        <v>113</v>
      </c>
      <c r="C734" s="234" t="s">
        <v>134</v>
      </c>
      <c r="D734" s="235">
        <v>0</v>
      </c>
    </row>
    <row r="735" spans="1:6" x14ac:dyDescent="0.25">
      <c r="A735" s="232">
        <v>45960</v>
      </c>
      <c r="B735" s="233" t="s">
        <v>379</v>
      </c>
      <c r="C735" s="234" t="s">
        <v>127</v>
      </c>
      <c r="D735" s="235">
        <v>1.7450000000000001</v>
      </c>
    </row>
    <row r="736" spans="1:6" x14ac:dyDescent="0.25">
      <c r="A736" s="232">
        <v>45960</v>
      </c>
      <c r="B736" s="233" t="s">
        <v>683</v>
      </c>
      <c r="C736" s="234" t="s">
        <v>641</v>
      </c>
      <c r="D736" s="235">
        <v>2.35</v>
      </c>
    </row>
    <row r="737" spans="1:6" x14ac:dyDescent="0.25">
      <c r="A737" s="232">
        <v>45960</v>
      </c>
      <c r="B737" s="233" t="s">
        <v>671</v>
      </c>
      <c r="C737" s="234" t="s">
        <v>669</v>
      </c>
      <c r="D737" s="235">
        <v>3.6949999999999998</v>
      </c>
    </row>
    <row r="738" spans="1:6" x14ac:dyDescent="0.25">
      <c r="A738" s="232">
        <v>45960</v>
      </c>
      <c r="B738" s="233" t="s">
        <v>457</v>
      </c>
      <c r="C738" s="234" t="s">
        <v>415</v>
      </c>
      <c r="D738" s="235">
        <v>3.16</v>
      </c>
    </row>
    <row r="739" spans="1:6" x14ac:dyDescent="0.25">
      <c r="A739" s="232">
        <v>45960</v>
      </c>
      <c r="B739" s="233" t="s">
        <v>190</v>
      </c>
      <c r="C739" s="234" t="s">
        <v>203</v>
      </c>
      <c r="D739" s="235">
        <v>3.42</v>
      </c>
    </row>
    <row r="740" spans="1:6" x14ac:dyDescent="0.25">
      <c r="A740" s="232">
        <v>45960</v>
      </c>
      <c r="B740" s="233" t="s">
        <v>191</v>
      </c>
      <c r="C740" s="234" t="s">
        <v>204</v>
      </c>
      <c r="D740" s="235">
        <v>0</v>
      </c>
    </row>
    <row r="741" spans="1:6" x14ac:dyDescent="0.25">
      <c r="A741" s="232">
        <v>45960</v>
      </c>
      <c r="B741" s="233" t="s">
        <v>184</v>
      </c>
      <c r="C741" s="234" t="s">
        <v>197</v>
      </c>
      <c r="D741" s="235">
        <v>0</v>
      </c>
    </row>
    <row r="742" spans="1:6" x14ac:dyDescent="0.25">
      <c r="A742" s="232">
        <v>45960</v>
      </c>
      <c r="B742" s="233" t="s">
        <v>670</v>
      </c>
      <c r="C742" s="234" t="s">
        <v>672</v>
      </c>
      <c r="D742" s="235">
        <v>2.57</v>
      </c>
    </row>
    <row r="743" spans="1:6" x14ac:dyDescent="0.25">
      <c r="A743" s="232">
        <v>45960</v>
      </c>
      <c r="B743" s="233" t="s">
        <v>196</v>
      </c>
      <c r="C743" s="234" t="s">
        <v>208</v>
      </c>
      <c r="D743" s="235">
        <v>4.665</v>
      </c>
    </row>
    <row r="744" spans="1:6" x14ac:dyDescent="0.25">
      <c r="A744" s="232">
        <v>45960</v>
      </c>
      <c r="B744" s="233" t="s">
        <v>380</v>
      </c>
      <c r="C744" s="234" t="s">
        <v>410</v>
      </c>
      <c r="D744" s="235">
        <v>3.5750000000000002</v>
      </c>
    </row>
    <row r="745" spans="1:6" x14ac:dyDescent="0.25">
      <c r="A745" s="232">
        <v>45960</v>
      </c>
      <c r="B745" s="233" t="s">
        <v>689</v>
      </c>
      <c r="C745" s="234" t="s">
        <v>687</v>
      </c>
      <c r="D745" s="235">
        <v>3.6</v>
      </c>
    </row>
    <row r="746" spans="1:6" x14ac:dyDescent="0.25">
      <c r="A746" s="232">
        <v>45960</v>
      </c>
      <c r="B746" s="233" t="s">
        <v>690</v>
      </c>
      <c r="C746" s="234" t="s">
        <v>686</v>
      </c>
      <c r="D746" s="235">
        <v>2.7250000000000001</v>
      </c>
    </row>
    <row r="747" spans="1:6" x14ac:dyDescent="0.25">
      <c r="A747" s="232">
        <v>45960</v>
      </c>
      <c r="B747" s="233" t="s">
        <v>673</v>
      </c>
      <c r="C747" s="234" t="s">
        <v>688</v>
      </c>
      <c r="D747" s="235">
        <v>2.76</v>
      </c>
    </row>
    <row r="748" spans="1:6" x14ac:dyDescent="0.25">
      <c r="A748" s="232">
        <v>45960</v>
      </c>
      <c r="B748" s="571" t="s">
        <v>643</v>
      </c>
      <c r="C748" s="572" t="s">
        <v>713</v>
      </c>
      <c r="D748" s="573">
        <v>3.36</v>
      </c>
    </row>
    <row r="749" spans="1:6" x14ac:dyDescent="0.25">
      <c r="A749" s="232">
        <v>45960</v>
      </c>
      <c r="B749" s="571" t="s">
        <v>736</v>
      </c>
      <c r="C749" s="572" t="s">
        <v>739</v>
      </c>
      <c r="D749" s="573">
        <v>3.5150000000000001</v>
      </c>
    </row>
    <row r="750" spans="1:6" x14ac:dyDescent="0.25">
      <c r="A750" s="232">
        <v>45960</v>
      </c>
      <c r="B750" s="233" t="s">
        <v>730</v>
      </c>
      <c r="C750" s="234" t="s">
        <v>729</v>
      </c>
      <c r="D750" s="235">
        <v>1.46</v>
      </c>
      <c r="F750" s="119">
        <f>SUM(D731:D750)</f>
        <v>53.345000000000006</v>
      </c>
    </row>
    <row r="751" spans="1:6" x14ac:dyDescent="0.25">
      <c r="A751" s="232">
        <v>45976</v>
      </c>
      <c r="B751" s="233" t="s">
        <v>304</v>
      </c>
      <c r="C751" s="234" t="s">
        <v>118</v>
      </c>
      <c r="D751" s="235">
        <v>2.74</v>
      </c>
    </row>
    <row r="752" spans="1:6" x14ac:dyDescent="0.25">
      <c r="A752" s="232">
        <v>45976</v>
      </c>
      <c r="B752" s="233" t="s">
        <v>309</v>
      </c>
      <c r="C752" s="234" t="s">
        <v>4</v>
      </c>
      <c r="D752" s="235">
        <v>0.66</v>
      </c>
    </row>
    <row r="753" spans="1:4" x14ac:dyDescent="0.25">
      <c r="A753" s="232">
        <v>45976</v>
      </c>
      <c r="B753" s="233" t="s">
        <v>378</v>
      </c>
      <c r="C753" s="234" t="s">
        <v>117</v>
      </c>
      <c r="D753" s="235">
        <v>4.5599999999999996</v>
      </c>
    </row>
    <row r="754" spans="1:4" x14ac:dyDescent="0.25">
      <c r="A754" s="232">
        <v>45976</v>
      </c>
      <c r="B754" s="233" t="s">
        <v>113</v>
      </c>
      <c r="C754" s="234" t="s">
        <v>134</v>
      </c>
      <c r="D754" s="235">
        <v>0</v>
      </c>
    </row>
    <row r="755" spans="1:4" x14ac:dyDescent="0.25">
      <c r="A755" s="232">
        <v>45976</v>
      </c>
      <c r="B755" s="233" t="s">
        <v>379</v>
      </c>
      <c r="C755" s="234" t="s">
        <v>127</v>
      </c>
      <c r="D755" s="235">
        <v>1.35</v>
      </c>
    </row>
    <row r="756" spans="1:4" x14ac:dyDescent="0.25">
      <c r="A756" s="232">
        <v>45976</v>
      </c>
      <c r="B756" s="233" t="s">
        <v>683</v>
      </c>
      <c r="C756" s="234" t="s">
        <v>641</v>
      </c>
      <c r="D756" s="235">
        <v>3.22</v>
      </c>
    </row>
    <row r="757" spans="1:4" x14ac:dyDescent="0.25">
      <c r="A757" s="232">
        <v>45976</v>
      </c>
      <c r="B757" s="233" t="s">
        <v>671</v>
      </c>
      <c r="C757" s="234" t="s">
        <v>669</v>
      </c>
      <c r="D757" s="235">
        <v>2.375</v>
      </c>
    </row>
    <row r="758" spans="1:4" x14ac:dyDescent="0.25">
      <c r="A758" s="232">
        <v>45976</v>
      </c>
      <c r="B758" s="233" t="s">
        <v>457</v>
      </c>
      <c r="C758" s="234" t="s">
        <v>415</v>
      </c>
      <c r="D758" s="235">
        <v>2.855</v>
      </c>
    </row>
    <row r="759" spans="1:4" x14ac:dyDescent="0.25">
      <c r="A759" s="232">
        <v>45976</v>
      </c>
      <c r="B759" s="233" t="s">
        <v>190</v>
      </c>
      <c r="C759" s="234" t="s">
        <v>203</v>
      </c>
      <c r="D759" s="235">
        <v>4.08</v>
      </c>
    </row>
    <row r="760" spans="1:4" x14ac:dyDescent="0.25">
      <c r="A760" s="232">
        <v>45976</v>
      </c>
      <c r="B760" s="233" t="s">
        <v>191</v>
      </c>
      <c r="C760" s="234" t="s">
        <v>204</v>
      </c>
      <c r="D760" s="235">
        <v>0</v>
      </c>
    </row>
    <row r="761" spans="1:4" x14ac:dyDescent="0.25">
      <c r="A761" s="232">
        <v>45976</v>
      </c>
      <c r="B761" s="233" t="s">
        <v>184</v>
      </c>
      <c r="C761" s="234" t="s">
        <v>197</v>
      </c>
      <c r="D761" s="235">
        <v>0</v>
      </c>
    </row>
    <row r="762" spans="1:4" x14ac:dyDescent="0.25">
      <c r="A762" s="232">
        <v>45976</v>
      </c>
      <c r="B762" s="233" t="s">
        <v>670</v>
      </c>
      <c r="C762" s="234" t="s">
        <v>672</v>
      </c>
      <c r="D762" s="235">
        <v>2.8250000000000002</v>
      </c>
    </row>
    <row r="763" spans="1:4" x14ac:dyDescent="0.25">
      <c r="A763" s="232">
        <v>45976</v>
      </c>
      <c r="B763" s="233" t="s">
        <v>196</v>
      </c>
      <c r="C763" s="234" t="s">
        <v>208</v>
      </c>
      <c r="D763" s="235">
        <v>4.4249999999999998</v>
      </c>
    </row>
    <row r="764" spans="1:4" x14ac:dyDescent="0.25">
      <c r="A764" s="232">
        <v>45976</v>
      </c>
      <c r="B764" s="233" t="s">
        <v>380</v>
      </c>
      <c r="C764" s="234" t="s">
        <v>410</v>
      </c>
      <c r="D764" s="235">
        <v>4.03</v>
      </c>
    </row>
    <row r="765" spans="1:4" x14ac:dyDescent="0.25">
      <c r="A765" s="232">
        <v>45976</v>
      </c>
      <c r="B765" s="233" t="s">
        <v>689</v>
      </c>
      <c r="C765" s="234" t="s">
        <v>687</v>
      </c>
      <c r="D765" s="235">
        <v>2.7</v>
      </c>
    </row>
    <row r="766" spans="1:4" x14ac:dyDescent="0.25">
      <c r="A766" s="232">
        <v>45976</v>
      </c>
      <c r="B766" s="233" t="s">
        <v>690</v>
      </c>
      <c r="C766" s="234" t="s">
        <v>686</v>
      </c>
      <c r="D766" s="235">
        <v>2.6</v>
      </c>
    </row>
    <row r="767" spans="1:4" x14ac:dyDescent="0.25">
      <c r="A767" s="232">
        <v>45976</v>
      </c>
      <c r="B767" s="233" t="s">
        <v>673</v>
      </c>
      <c r="C767" s="234" t="s">
        <v>688</v>
      </c>
      <c r="D767" s="235">
        <v>2.3250000000000002</v>
      </c>
    </row>
    <row r="768" spans="1:4" x14ac:dyDescent="0.25">
      <c r="A768" s="232">
        <v>45976</v>
      </c>
      <c r="B768" s="571" t="s">
        <v>643</v>
      </c>
      <c r="C768" s="572" t="s">
        <v>713</v>
      </c>
      <c r="D768" s="573">
        <v>3.165</v>
      </c>
    </row>
    <row r="769" spans="1:4" x14ac:dyDescent="0.25">
      <c r="A769" s="232">
        <v>45976</v>
      </c>
      <c r="B769" s="571" t="s">
        <v>736</v>
      </c>
      <c r="C769" s="572" t="s">
        <v>739</v>
      </c>
      <c r="D769" s="573">
        <v>3.24</v>
      </c>
    </row>
    <row r="770" spans="1:4" x14ac:dyDescent="0.25">
      <c r="A770" s="232">
        <v>45976</v>
      </c>
      <c r="B770" s="233" t="s">
        <v>730</v>
      </c>
      <c r="C770" s="234" t="s">
        <v>729</v>
      </c>
      <c r="D770" s="235">
        <v>2.0649999999999999</v>
      </c>
    </row>
    <row r="771" spans="1:4" x14ac:dyDescent="0.25">
      <c r="A771" s="232">
        <v>45976</v>
      </c>
      <c r="B771" s="233" t="s">
        <v>747</v>
      </c>
      <c r="C771" s="234" t="s">
        <v>751</v>
      </c>
      <c r="D771" s="235">
        <v>3.7949999999999999</v>
      </c>
    </row>
  </sheetData>
  <phoneticPr fontId="3" type="noConversion"/>
  <pageMargins left="0.7" right="0.7" top="0.75" bottom="0.75" header="0.3" footer="0.3"/>
  <pageSetup paperSize="9" orientation="portrait"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3:K68"/>
  <sheetViews>
    <sheetView topLeftCell="A43" workbookViewId="0">
      <selection activeCell="D63" sqref="D63"/>
    </sheetView>
  </sheetViews>
  <sheetFormatPr baseColWidth="10" defaultColWidth="10.7109375" defaultRowHeight="15" x14ac:dyDescent="0.25"/>
  <cols>
    <col min="1" max="1" width="15.7109375" style="153" customWidth="1"/>
    <col min="2" max="2" width="11.5703125" style="152" customWidth="1"/>
    <col min="3" max="3" width="22.42578125" style="153" customWidth="1"/>
    <col min="4" max="4" width="13" style="153" customWidth="1"/>
    <col min="5" max="5" width="10.7109375" style="153"/>
    <col min="6" max="6" width="18.5703125" style="153" customWidth="1"/>
    <col min="7" max="7" width="20" style="153" customWidth="1"/>
    <col min="8" max="11" width="18.5703125" style="153" customWidth="1"/>
    <col min="12" max="12" width="5.140625" style="153" customWidth="1"/>
    <col min="13" max="13" width="10.7109375" style="153"/>
    <col min="14" max="14" width="0" style="153" hidden="1" customWidth="1"/>
    <col min="15" max="22" width="10.7109375" style="153"/>
    <col min="23" max="23" width="0" style="153" hidden="1" customWidth="1"/>
    <col min="24" max="28" width="10.7109375" style="153"/>
    <col min="29" max="29" width="0" style="153" hidden="1" customWidth="1"/>
    <col min="30" max="30" width="10.7109375" style="153"/>
    <col min="31" max="31" width="0" style="153" hidden="1" customWidth="1"/>
    <col min="32" max="16384" width="10.7109375" style="153"/>
  </cols>
  <sheetData>
    <row r="3" spans="1:11" x14ac:dyDescent="0.25">
      <c r="A3" s="200" t="s">
        <v>12</v>
      </c>
      <c r="B3" s="201" t="s">
        <v>0</v>
      </c>
      <c r="C3" s="202" t="s">
        <v>1</v>
      </c>
      <c r="D3" s="203" t="s">
        <v>131</v>
      </c>
      <c r="E3" s="153" t="s">
        <v>129</v>
      </c>
      <c r="F3" s="154" t="s">
        <v>0</v>
      </c>
      <c r="G3" s="155" t="s">
        <v>1</v>
      </c>
      <c r="H3" s="162" t="s">
        <v>452</v>
      </c>
      <c r="I3" s="162" t="s">
        <v>26</v>
      </c>
      <c r="J3" s="162" t="s">
        <v>331</v>
      </c>
      <c r="K3" s="163" t="s">
        <v>451</v>
      </c>
    </row>
    <row r="4" spans="1:11" ht="14.25" customHeight="1" x14ac:dyDescent="0.25">
      <c r="A4" s="193">
        <v>45252</v>
      </c>
      <c r="B4" s="115" t="s">
        <v>190</v>
      </c>
      <c r="C4" s="193" t="str">
        <f>VLOOKUP(Controlpesos[[#This Row],[Numero]],Fichas[#All],2,FALSE)</f>
        <v>LA YEGUA</v>
      </c>
      <c r="D4" s="197">
        <v>517</v>
      </c>
      <c r="F4" s="190" t="s">
        <v>190</v>
      </c>
      <c r="G4" s="156" t="str">
        <f>VLOOKUP(Controlpesos2[[#This Row],[Numero]],Fichas[#All],2,FALSE)</f>
        <v>LA YEGUA</v>
      </c>
      <c r="H4" s="156">
        <f>VLOOKUP(Controlpesos2[[#This Row],[Numero]],Fichas[#All],3,FALSE)</f>
        <v>42005</v>
      </c>
      <c r="I4" s="156" t="str">
        <f>VLOOKUP(Controlpesos2[[#This Row],[Numero]],Fichas[#All],4,FALSE)</f>
        <v>Hembra</v>
      </c>
      <c r="J4" s="156" t="str">
        <f>VLOOKUP(Controlpesos2[[#This Row],[Numero]],Fichas[#All],8,FALSE)</f>
        <v>Ordeño</v>
      </c>
      <c r="K4" s="160">
        <v>517</v>
      </c>
    </row>
    <row r="5" spans="1:11" x14ac:dyDescent="0.25">
      <c r="A5" s="156">
        <v>45252</v>
      </c>
      <c r="B5" s="194" t="s">
        <v>191</v>
      </c>
      <c r="C5" s="156" t="str">
        <f>VLOOKUP(Controlpesos[[#This Row],[Numero]],Fichas[#All],2,FALSE)</f>
        <v>OJOS NEGROS</v>
      </c>
      <c r="D5" s="160">
        <v>558</v>
      </c>
      <c r="F5" s="190" t="s">
        <v>191</v>
      </c>
      <c r="G5" s="156" t="str">
        <f>VLOOKUP(Controlpesos2[[#This Row],[Numero]],Fichas[#All],2,FALSE)</f>
        <v>OJOS NEGROS</v>
      </c>
      <c r="H5" s="156">
        <f>VLOOKUP(Controlpesos2[[#This Row],[Numero]],Fichas[#All],3,FALSE)</f>
        <v>42005</v>
      </c>
      <c r="I5" s="156" t="str">
        <f>VLOOKUP(Controlpesos2[[#This Row],[Numero]],Fichas[#All],4,FALSE)</f>
        <v>Hembra</v>
      </c>
      <c r="J5" s="156" t="str">
        <f>VLOOKUP(Controlpesos2[[#This Row],[Numero]],Fichas[#All],8,FALSE)</f>
        <v>Ordeño</v>
      </c>
      <c r="K5" s="160">
        <v>558</v>
      </c>
    </row>
    <row r="6" spans="1:11" x14ac:dyDescent="0.25">
      <c r="A6" s="193">
        <v>45252</v>
      </c>
      <c r="B6" s="115" t="s">
        <v>192</v>
      </c>
      <c r="C6" s="193" t="str">
        <f>VLOOKUP(Controlpesos[[#This Row],[Numero]],Fichas[#All],2,FALSE)</f>
        <v>ORIANA</v>
      </c>
      <c r="D6" s="197">
        <v>473</v>
      </c>
      <c r="F6" s="190" t="s">
        <v>192</v>
      </c>
      <c r="G6" s="156" t="str">
        <f>VLOOKUP(Controlpesos2[[#This Row],[Numero]],Fichas[#All],2,FALSE)</f>
        <v>ORIANA</v>
      </c>
      <c r="H6" s="156">
        <f>VLOOKUP(Controlpesos2[[#This Row],[Numero]],Fichas[#All],3,FALSE)</f>
        <v>42005</v>
      </c>
      <c r="I6" s="156" t="str">
        <f>VLOOKUP(Controlpesos2[[#This Row],[Numero]],Fichas[#All],4,FALSE)</f>
        <v>Hembra</v>
      </c>
      <c r="J6" s="156" t="str">
        <f>VLOOKUP(Controlpesos2[[#This Row],[Numero]],Fichas[#All],8,FALSE)</f>
        <v>Ordeño</v>
      </c>
      <c r="K6" s="160">
        <v>473</v>
      </c>
    </row>
    <row r="7" spans="1:11" hidden="1" x14ac:dyDescent="0.25">
      <c r="A7" s="156">
        <v>45252</v>
      </c>
      <c r="B7" s="194" t="s">
        <v>306</v>
      </c>
      <c r="C7" s="156" t="str">
        <f>VLOOKUP(Controlpesos[[#This Row],[Numero]],Fichas[#All],2,FALSE)</f>
        <v>TONCHA</v>
      </c>
      <c r="D7" s="160">
        <v>505</v>
      </c>
      <c r="F7" s="190" t="s">
        <v>306</v>
      </c>
      <c r="G7" s="156" t="str">
        <f>VLOOKUP(Controlpesos2[[#This Row],[Numero]],Fichas[#All],2,FALSE)</f>
        <v>TONCHA</v>
      </c>
      <c r="H7" s="156">
        <f>VLOOKUP(Controlpesos2[[#This Row],[Numero]],Fichas[#All],3,FALSE)</f>
        <v>42005</v>
      </c>
      <c r="I7" s="156" t="str">
        <f>VLOOKUP(Controlpesos2[[#This Row],[Numero]],Fichas[#All],4,FALSE)</f>
        <v>Hembra</v>
      </c>
      <c r="J7" s="156" t="str">
        <f>VLOOKUP(Controlpesos2[[#This Row],[Numero]],Fichas[#All],8,FALSE)</f>
        <v>Ordeño</v>
      </c>
      <c r="K7" s="160">
        <v>505</v>
      </c>
    </row>
    <row r="8" spans="1:11" x14ac:dyDescent="0.25">
      <c r="A8" s="193">
        <v>45252</v>
      </c>
      <c r="B8" s="115" t="s">
        <v>185</v>
      </c>
      <c r="C8" s="193" t="str">
        <f>VLOOKUP(Controlpesos[[#This Row],[Numero]],Fichas[#All],2,FALSE)</f>
        <v>LUNA</v>
      </c>
      <c r="D8" s="197">
        <v>467</v>
      </c>
      <c r="F8" s="190" t="s">
        <v>185</v>
      </c>
      <c r="G8" s="156" t="str">
        <f>VLOOKUP(Controlpesos2[[#This Row],[Numero]],Fichas[#All],2,FALSE)</f>
        <v>LUNA</v>
      </c>
      <c r="H8" s="156">
        <f>VLOOKUP(Controlpesos2[[#This Row],[Numero]],Fichas[#All],3,FALSE)</f>
        <v>42005</v>
      </c>
      <c r="I8" s="156" t="str">
        <f>VLOOKUP(Controlpesos2[[#This Row],[Numero]],Fichas[#All],4,FALSE)</f>
        <v>Hembra</v>
      </c>
      <c r="J8" s="156" t="str">
        <f>VLOOKUP(Controlpesos2[[#This Row],[Numero]],Fichas[#All],8,FALSE)</f>
        <v>Vendida</v>
      </c>
      <c r="K8" s="160">
        <v>467</v>
      </c>
    </row>
    <row r="9" spans="1:11" x14ac:dyDescent="0.25">
      <c r="A9" s="156">
        <v>45252</v>
      </c>
      <c r="B9" s="194" t="s">
        <v>184</v>
      </c>
      <c r="C9" s="156" t="str">
        <f>VLOOKUP(Controlpesos[[#This Row],[Numero]],Fichas[#All],2,FALSE)</f>
        <v>MARIANA</v>
      </c>
      <c r="D9" s="160">
        <v>452</v>
      </c>
      <c r="F9" s="190" t="s">
        <v>184</v>
      </c>
      <c r="G9" s="156" t="str">
        <f>VLOOKUP(Controlpesos2[[#This Row],[Numero]],Fichas[#All],2,FALSE)</f>
        <v>MARIANA</v>
      </c>
      <c r="H9" s="156">
        <f>VLOOKUP(Controlpesos2[[#This Row],[Numero]],Fichas[#All],3,FALSE)</f>
        <v>42370</v>
      </c>
      <c r="I9" s="156" t="str">
        <f>VLOOKUP(Controlpesos2[[#This Row],[Numero]],Fichas[#All],4,FALSE)</f>
        <v>Hembra</v>
      </c>
      <c r="J9" s="156" t="str">
        <f>VLOOKUP(Controlpesos2[[#This Row],[Numero]],Fichas[#All],8,FALSE)</f>
        <v>Ordeño</v>
      </c>
      <c r="K9" s="160">
        <v>452</v>
      </c>
    </row>
    <row r="10" spans="1:11" hidden="1" x14ac:dyDescent="0.25">
      <c r="A10" s="193">
        <v>45252</v>
      </c>
      <c r="B10" s="115" t="s">
        <v>193</v>
      </c>
      <c r="C10" s="193" t="str">
        <f>VLOOKUP(Controlpesos[[#This Row],[Numero]],Fichas[#All],2,FALSE)</f>
        <v>ESTRELLA</v>
      </c>
      <c r="D10" s="197">
        <v>447</v>
      </c>
      <c r="F10" s="190" t="s">
        <v>193</v>
      </c>
      <c r="G10" s="156" t="str">
        <f>VLOOKUP(Controlpesos2[[#This Row],[Numero]],Fichas[#All],2,FALSE)</f>
        <v>ESTRELLA</v>
      </c>
      <c r="H10" s="156">
        <f>VLOOKUP(Controlpesos2[[#This Row],[Numero]],Fichas[#All],3,FALSE)</f>
        <v>42370</v>
      </c>
      <c r="I10" s="156" t="str">
        <f>VLOOKUP(Controlpesos2[[#This Row],[Numero]],Fichas[#All],4,FALSE)</f>
        <v>Hembra</v>
      </c>
      <c r="J10" s="156" t="str">
        <f>VLOOKUP(Controlpesos2[[#This Row],[Numero]],Fichas[#All],8,FALSE)</f>
        <v>Ordeño</v>
      </c>
      <c r="K10" s="160">
        <v>447</v>
      </c>
    </row>
    <row r="11" spans="1:11" x14ac:dyDescent="0.25">
      <c r="A11" s="156">
        <v>45252</v>
      </c>
      <c r="B11" s="194" t="s">
        <v>187</v>
      </c>
      <c r="C11" s="156" t="str">
        <f>VLOOKUP(Controlpesos[[#This Row],[Numero]],Fichas[#All],2,FALSE)</f>
        <v>CONEJA</v>
      </c>
      <c r="D11" s="160">
        <v>517</v>
      </c>
      <c r="F11" s="190" t="s">
        <v>187</v>
      </c>
      <c r="G11" s="156" t="str">
        <f>VLOOKUP(Controlpesos2[[#This Row],[Numero]],Fichas[#All],2,FALSE)</f>
        <v>CONEJA</v>
      </c>
      <c r="H11" s="156">
        <f>VLOOKUP(Controlpesos2[[#This Row],[Numero]],Fichas[#All],3,FALSE)</f>
        <v>42736</v>
      </c>
      <c r="I11" s="156" t="str">
        <f>VLOOKUP(Controlpesos2[[#This Row],[Numero]],Fichas[#All],4,FALSE)</f>
        <v>Hembra</v>
      </c>
      <c r="J11" s="156" t="str">
        <f>VLOOKUP(Controlpesos2[[#This Row],[Numero]],Fichas[#All],8,FALSE)</f>
        <v>Ordeño</v>
      </c>
      <c r="K11" s="160">
        <v>517</v>
      </c>
    </row>
    <row r="12" spans="1:11" x14ac:dyDescent="0.25">
      <c r="A12" s="193">
        <v>45252</v>
      </c>
      <c r="B12" s="115" t="s">
        <v>195</v>
      </c>
      <c r="C12" s="193" t="str">
        <f>VLOOKUP(Controlpesos[[#This Row],[Numero]],Fichas[#All],2,FALSE)</f>
        <v>VENAITA</v>
      </c>
      <c r="D12" s="197">
        <v>490</v>
      </c>
      <c r="F12" s="190" t="s">
        <v>195</v>
      </c>
      <c r="G12" s="156" t="str">
        <f>VLOOKUP(Controlpesos2[[#This Row],[Numero]],Fichas[#All],2,FALSE)</f>
        <v>VENAITA</v>
      </c>
      <c r="H12" s="156">
        <f>VLOOKUP(Controlpesos2[[#This Row],[Numero]],Fichas[#All],3,FALSE)</f>
        <v>43101</v>
      </c>
      <c r="I12" s="156" t="str">
        <f>VLOOKUP(Controlpesos2[[#This Row],[Numero]],Fichas[#All],4,FALSE)</f>
        <v>Hembra</v>
      </c>
      <c r="J12" s="156" t="str">
        <f>VLOOKUP(Controlpesos2[[#This Row],[Numero]],Fichas[#All],8,FALSE)</f>
        <v>Ordeño</v>
      </c>
      <c r="K12" s="160">
        <v>490</v>
      </c>
    </row>
    <row r="13" spans="1:11" x14ac:dyDescent="0.25">
      <c r="A13" s="156">
        <v>45252</v>
      </c>
      <c r="B13" s="194" t="s">
        <v>194</v>
      </c>
      <c r="C13" s="156" t="str">
        <f>VLOOKUP(Controlpesos[[#This Row],[Numero]],Fichas[#All],2,FALSE)</f>
        <v>PARDA</v>
      </c>
      <c r="D13" s="160">
        <v>490</v>
      </c>
      <c r="F13" s="190" t="s">
        <v>194</v>
      </c>
      <c r="G13" s="156" t="str">
        <f>VLOOKUP(Controlpesos2[[#This Row],[Numero]],Fichas[#All],2,FALSE)</f>
        <v>PARDA</v>
      </c>
      <c r="H13" s="156">
        <f>VLOOKUP(Controlpesos2[[#This Row],[Numero]],Fichas[#All],3,FALSE)</f>
        <v>43101</v>
      </c>
      <c r="I13" s="156" t="str">
        <f>VLOOKUP(Controlpesos2[[#This Row],[Numero]],Fichas[#All],4,FALSE)</f>
        <v>Hembra</v>
      </c>
      <c r="J13" s="156" t="str">
        <f>VLOOKUP(Controlpesos2[[#This Row],[Numero]],Fichas[#All],8,FALSE)</f>
        <v>Vaca</v>
      </c>
      <c r="K13" s="160">
        <v>490</v>
      </c>
    </row>
    <row r="14" spans="1:11" x14ac:dyDescent="0.25">
      <c r="A14" s="193">
        <v>45252</v>
      </c>
      <c r="B14" s="115" t="s">
        <v>196</v>
      </c>
      <c r="C14" s="193" t="str">
        <f>VLOOKUP(Controlpesos[[#This Row],[Numero]],Fichas[#All],2,FALSE)</f>
        <v>TRANCO LARGO</v>
      </c>
      <c r="D14" s="197">
        <v>524</v>
      </c>
      <c r="F14" s="190" t="s">
        <v>196</v>
      </c>
      <c r="G14" s="156" t="str">
        <f>VLOOKUP(Controlpesos2[[#This Row],[Numero]],Fichas[#All],2,FALSE)</f>
        <v>TRANCO LARGO</v>
      </c>
      <c r="H14" s="156">
        <f>VLOOKUP(Controlpesos2[[#This Row],[Numero]],Fichas[#All],3,FALSE)</f>
        <v>43101</v>
      </c>
      <c r="I14" s="156" t="str">
        <f>VLOOKUP(Controlpesos2[[#This Row],[Numero]],Fichas[#All],4,FALSE)</f>
        <v>Hembra</v>
      </c>
      <c r="J14" s="156" t="str">
        <f>VLOOKUP(Controlpesos2[[#This Row],[Numero]],Fichas[#All],8,FALSE)</f>
        <v>Ordeño</v>
      </c>
      <c r="K14" s="160">
        <v>524</v>
      </c>
    </row>
    <row r="15" spans="1:11" x14ac:dyDescent="0.25">
      <c r="A15" s="156">
        <v>45252</v>
      </c>
      <c r="B15" s="194" t="s">
        <v>304</v>
      </c>
      <c r="C15" s="156" t="str">
        <f>VLOOKUP(Controlpesos[[#This Row],[Numero]],Fichas[#All],2,FALSE)</f>
        <v>Morena</v>
      </c>
      <c r="D15" s="160">
        <v>452</v>
      </c>
      <c r="F15" s="190" t="s">
        <v>304</v>
      </c>
      <c r="G15" s="156" t="str">
        <f>VLOOKUP(Controlpesos2[[#This Row],[Numero]],Fichas[#All],2,FALSE)</f>
        <v>Morena</v>
      </c>
      <c r="H15" s="156">
        <f>VLOOKUP(Controlpesos2[[#This Row],[Numero]],Fichas[#All],3,FALSE)</f>
        <v>43273</v>
      </c>
      <c r="I15" s="156" t="str">
        <f>VLOOKUP(Controlpesos2[[#This Row],[Numero]],Fichas[#All],4,FALSE)</f>
        <v>Hembra</v>
      </c>
      <c r="J15" s="156" t="str">
        <f>VLOOKUP(Controlpesos2[[#This Row],[Numero]],Fichas[#All],8,FALSE)</f>
        <v>Ordeño</v>
      </c>
      <c r="K15" s="160">
        <v>452</v>
      </c>
    </row>
    <row r="16" spans="1:11" x14ac:dyDescent="0.25">
      <c r="A16" s="193">
        <v>45252</v>
      </c>
      <c r="B16" s="115" t="s">
        <v>309</v>
      </c>
      <c r="C16" s="193" t="str">
        <f>VLOOKUP(Controlpesos[[#This Row],[Numero]],Fichas[#All],2,FALSE)</f>
        <v>La Negra</v>
      </c>
      <c r="D16" s="197">
        <v>406</v>
      </c>
      <c r="F16" s="190" t="s">
        <v>309</v>
      </c>
      <c r="G16" s="156" t="str">
        <f>VLOOKUP(Controlpesos2[[#This Row],[Numero]],Fichas[#All],2,FALSE)</f>
        <v>La Negra</v>
      </c>
      <c r="H16" s="156">
        <f>VLOOKUP(Controlpesos2[[#This Row],[Numero]],Fichas[#All],3,FALSE)</f>
        <v>43273</v>
      </c>
      <c r="I16" s="156" t="str">
        <f>VLOOKUP(Controlpesos2[[#This Row],[Numero]],Fichas[#All],4,FALSE)</f>
        <v>Hembra</v>
      </c>
      <c r="J16" s="156" t="str">
        <f>VLOOKUP(Controlpesos2[[#This Row],[Numero]],Fichas[#All],8,FALSE)</f>
        <v>Ordeño</v>
      </c>
      <c r="K16" s="160">
        <v>406</v>
      </c>
    </row>
    <row r="17" spans="1:11" x14ac:dyDescent="0.25">
      <c r="A17" s="156">
        <v>45252</v>
      </c>
      <c r="B17" s="194" t="s">
        <v>378</v>
      </c>
      <c r="C17" s="156" t="str">
        <f>VLOOKUP(Controlpesos[[#This Row],[Numero]],Fichas[#All],2,FALSE)</f>
        <v>Esperanza</v>
      </c>
      <c r="D17" s="160">
        <v>415</v>
      </c>
      <c r="F17" s="190" t="s">
        <v>378</v>
      </c>
      <c r="G17" s="156" t="str">
        <f>VLOOKUP(Controlpesos2[[#This Row],[Numero]],Fichas[#All],2,FALSE)</f>
        <v>Esperanza</v>
      </c>
      <c r="H17" s="156">
        <f>VLOOKUP(Controlpesos2[[#This Row],[Numero]],Fichas[#All],3,FALSE)</f>
        <v>43312</v>
      </c>
      <c r="I17" s="156" t="str">
        <f>VLOOKUP(Controlpesos2[[#This Row],[Numero]],Fichas[#All],4,FALSE)</f>
        <v>Hembra</v>
      </c>
      <c r="J17" s="156" t="str">
        <f>VLOOKUP(Controlpesos2[[#This Row],[Numero]],Fichas[#All],8,FALSE)</f>
        <v>Ordeño</v>
      </c>
      <c r="K17" s="160">
        <v>415</v>
      </c>
    </row>
    <row r="18" spans="1:11" x14ac:dyDescent="0.25">
      <c r="A18" s="193">
        <v>45252</v>
      </c>
      <c r="B18" s="115" t="s">
        <v>113</v>
      </c>
      <c r="C18" s="193" t="str">
        <f>VLOOKUP(Controlpesos[[#This Row],[Numero]],Fichas[#All],2,FALSE)</f>
        <v>Maria Jose</v>
      </c>
      <c r="D18" s="197">
        <v>466</v>
      </c>
      <c r="F18" s="190" t="s">
        <v>113</v>
      </c>
      <c r="G18" s="156" t="str">
        <f>VLOOKUP(Controlpesos2[[#This Row],[Numero]],Fichas[#All],2,FALSE)</f>
        <v>Maria Jose</v>
      </c>
      <c r="H18" s="156">
        <f>VLOOKUP(Controlpesos2[[#This Row],[Numero]],Fichas[#All],3,FALSE)</f>
        <v>43816</v>
      </c>
      <c r="I18" s="156" t="str">
        <f>VLOOKUP(Controlpesos2[[#This Row],[Numero]],Fichas[#All],4,FALSE)</f>
        <v>Hembra</v>
      </c>
      <c r="J18" s="156" t="str">
        <f>VLOOKUP(Controlpesos2[[#This Row],[Numero]],Fichas[#All],8,FALSE)</f>
        <v>Ordeño</v>
      </c>
      <c r="K18" s="160">
        <v>466</v>
      </c>
    </row>
    <row r="19" spans="1:11" x14ac:dyDescent="0.25">
      <c r="A19" s="156">
        <v>45252</v>
      </c>
      <c r="B19" s="194" t="s">
        <v>114</v>
      </c>
      <c r="C19" s="156" t="str">
        <f>VLOOKUP(Controlpesos[[#This Row],[Numero]],Fichas[#All],2,FALSE)</f>
        <v>Yolimar</v>
      </c>
      <c r="D19" s="160">
        <v>369</v>
      </c>
      <c r="F19" s="190" t="s">
        <v>114</v>
      </c>
      <c r="G19" s="156" t="str">
        <f>VLOOKUP(Controlpesos2[[#This Row],[Numero]],Fichas[#All],2,FALSE)</f>
        <v>Yolimar</v>
      </c>
      <c r="H19" s="156">
        <f>VLOOKUP(Controlpesos2[[#This Row],[Numero]],Fichas[#All],3,FALSE)</f>
        <v>43824</v>
      </c>
      <c r="I19" s="156" t="str">
        <f>VLOOKUP(Controlpesos2[[#This Row],[Numero]],Fichas[#All],4,FALSE)</f>
        <v>Hembra</v>
      </c>
      <c r="J19" s="156" t="str">
        <f>VLOOKUP(Controlpesos2[[#This Row],[Numero]],Fichas[#All],8,FALSE)</f>
        <v>Ordeño</v>
      </c>
      <c r="K19" s="160">
        <v>369</v>
      </c>
    </row>
    <row r="20" spans="1:11" x14ac:dyDescent="0.25">
      <c r="A20" s="193">
        <v>45252</v>
      </c>
      <c r="B20" s="115" t="s">
        <v>379</v>
      </c>
      <c r="C20" s="193" t="str">
        <f>VLOOKUP(Controlpesos[[#This Row],[Numero]],Fichas[#All],2,FALSE)</f>
        <v>Carapachita</v>
      </c>
      <c r="D20" s="197">
        <v>464</v>
      </c>
      <c r="F20" s="190" t="s">
        <v>379</v>
      </c>
      <c r="G20" s="156" t="str">
        <f>VLOOKUP(Controlpesos2[[#This Row],[Numero]],Fichas[#All],2,FALSE)</f>
        <v>Carapachita</v>
      </c>
      <c r="H20" s="156">
        <f>VLOOKUP(Controlpesos2[[#This Row],[Numero]],Fichas[#All],3,FALSE)</f>
        <v>43926</v>
      </c>
      <c r="I20" s="156" t="str">
        <f>VLOOKUP(Controlpesos2[[#This Row],[Numero]],Fichas[#All],4,FALSE)</f>
        <v>Hembra</v>
      </c>
      <c r="J20" s="156" t="str">
        <f>VLOOKUP(Controlpesos2[[#This Row],[Numero]],Fichas[#All],8,FALSE)</f>
        <v>Ordeño</v>
      </c>
      <c r="K20" s="160">
        <v>464</v>
      </c>
    </row>
    <row r="21" spans="1:11" x14ac:dyDescent="0.25">
      <c r="A21" s="156">
        <v>45252</v>
      </c>
      <c r="B21" s="194" t="s">
        <v>380</v>
      </c>
      <c r="C21" s="156" t="str">
        <f>VLOOKUP(Controlpesos[[#This Row],[Numero]],Fichas[#All],2,FALSE)</f>
        <v>Blanquita2</v>
      </c>
      <c r="D21" s="160">
        <v>400</v>
      </c>
      <c r="F21" s="190" t="s">
        <v>380</v>
      </c>
      <c r="G21" s="156" t="str">
        <f>VLOOKUP(Controlpesos2[[#This Row],[Numero]],Fichas[#All],2,FALSE)</f>
        <v>Blanquita2</v>
      </c>
      <c r="H21" s="156">
        <f>VLOOKUP(Controlpesos2[[#This Row],[Numero]],Fichas[#All],3,FALSE)</f>
        <v>44159</v>
      </c>
      <c r="I21" s="156" t="str">
        <f>VLOOKUP(Controlpesos2[[#This Row],[Numero]],Fichas[#All],4,FALSE)</f>
        <v>Hembra</v>
      </c>
      <c r="J21" s="156" t="str">
        <f>VLOOKUP(Controlpesos2[[#This Row],[Numero]],Fichas[#All],8,FALSE)</f>
        <v>Ordeño</v>
      </c>
      <c r="K21" s="160">
        <v>400</v>
      </c>
    </row>
    <row r="22" spans="1:11" x14ac:dyDescent="0.25">
      <c r="A22" s="193">
        <v>45252</v>
      </c>
      <c r="B22" s="195" t="s">
        <v>457</v>
      </c>
      <c r="C22" s="196" t="str">
        <f>VLOOKUP(Controlpesos[[#This Row],[Numero]],Fichas[#All],2,FALSE)</f>
        <v>Patanemo Cordero</v>
      </c>
      <c r="D22" s="198">
        <v>396</v>
      </c>
      <c r="F22" s="191" t="s">
        <v>457</v>
      </c>
      <c r="G22" s="159" t="str">
        <f>VLOOKUP(Controlpesos2[[#This Row],[Numero]],Fichas[#All],2,FALSE)</f>
        <v>Patanemo Cordero</v>
      </c>
      <c r="H22" s="185">
        <f>VLOOKUP(Controlpesos2[[#This Row],[Numero]],Fichas[#All],3,FALSE)</f>
        <v>44159</v>
      </c>
      <c r="I22" s="187" t="str">
        <f>VLOOKUP(Controlpesos2[[#This Row],[Numero]],Fichas[#All],4,FALSE)</f>
        <v>Hembra</v>
      </c>
      <c r="J22" s="187" t="str">
        <f>VLOOKUP(Controlpesos2[[#This Row],[Numero]],Fichas[#All],8,FALSE)</f>
        <v>Ordeño</v>
      </c>
      <c r="K22" s="161">
        <v>396</v>
      </c>
    </row>
    <row r="23" spans="1:11" hidden="1" x14ac:dyDescent="0.25">
      <c r="A23" s="156">
        <v>45252</v>
      </c>
      <c r="B23" s="194" t="s">
        <v>381</v>
      </c>
      <c r="C23" s="156" t="str">
        <f>VLOOKUP(Controlpesos[[#This Row],[Numero]],Fichas[#All],2,FALSE)</f>
        <v>H DE La Negra</v>
      </c>
      <c r="D23" s="160">
        <v>214</v>
      </c>
      <c r="F23" s="190" t="s">
        <v>381</v>
      </c>
      <c r="G23" s="156" t="str">
        <f>VLOOKUP(Controlpesos2[[#This Row],[Numero]],Fichas[#All],2,FALSE)</f>
        <v>H DE La Negra</v>
      </c>
      <c r="H23" s="156">
        <f>VLOOKUP(Controlpesos2[[#This Row],[Numero]],Fichas[#All],3,FALSE)</f>
        <v>44416</v>
      </c>
      <c r="I23" s="156" t="str">
        <f>VLOOKUP(Controlpesos2[[#This Row],[Numero]],Fichas[#All],4,FALSE)</f>
        <v>Hembra</v>
      </c>
      <c r="J23" s="156" t="str">
        <f>VLOOKUP(Controlpesos2[[#This Row],[Numero]],Fichas[#All],8,FALSE)</f>
        <v>Mauta</v>
      </c>
      <c r="K23" s="160">
        <v>214</v>
      </c>
    </row>
    <row r="24" spans="1:11" x14ac:dyDescent="0.25">
      <c r="A24" s="193">
        <v>45252</v>
      </c>
      <c r="B24" s="115" t="s">
        <v>455</v>
      </c>
      <c r="C24" s="193" t="str">
        <f>VLOOKUP(Controlpesos[[#This Row],[Numero]],Fichas[#All],2,FALSE)</f>
        <v>Sicario</v>
      </c>
      <c r="D24" s="197">
        <v>378</v>
      </c>
      <c r="F24" s="190" t="s">
        <v>455</v>
      </c>
      <c r="G24" s="156" t="str">
        <f>VLOOKUP(Controlpesos2[[#This Row],[Numero]],Fichas[#All],2,FALSE)</f>
        <v>Sicario</v>
      </c>
      <c r="H24" s="156">
        <f>VLOOKUP(Controlpesos2[[#This Row],[Numero]],Fichas[#All],3,FALSE)</f>
        <v>44436</v>
      </c>
      <c r="I24" s="156" t="str">
        <f>VLOOKUP(Controlpesos2[[#This Row],[Numero]],Fichas[#All],4,FALSE)</f>
        <v>Macho</v>
      </c>
      <c r="J24" s="156" t="str">
        <f>VLOOKUP(Controlpesos2[[#This Row],[Numero]],Fichas[#All],8,FALSE)</f>
        <v>Toro</v>
      </c>
      <c r="K24" s="160">
        <v>378</v>
      </c>
    </row>
    <row r="25" spans="1:11" x14ac:dyDescent="0.25">
      <c r="A25" s="156">
        <v>45252</v>
      </c>
      <c r="B25" s="194" t="s">
        <v>456</v>
      </c>
      <c r="C25" s="156" t="str">
        <f>VLOOKUP(Controlpesos[[#This Row],[Numero]],Fichas[#All],2,FALSE)</f>
        <v>El Gringo</v>
      </c>
      <c r="D25" s="160">
        <v>290</v>
      </c>
      <c r="F25" s="190" t="s">
        <v>456</v>
      </c>
      <c r="G25" s="156" t="str">
        <f>VLOOKUP(Controlpesos2[[#This Row],[Numero]],Fichas[#All],2,FALSE)</f>
        <v>El Gringo</v>
      </c>
      <c r="H25" s="156">
        <f>VLOOKUP(Controlpesos2[[#This Row],[Numero]],Fichas[#All],3,FALSE)</f>
        <v>44436</v>
      </c>
      <c r="I25" s="156" t="str">
        <f>VLOOKUP(Controlpesos2[[#This Row],[Numero]],Fichas[#All],4,FALSE)</f>
        <v>Macho</v>
      </c>
      <c r="J25" s="156" t="str">
        <f>VLOOKUP(Controlpesos2[[#This Row],[Numero]],Fichas[#All],8,FALSE)</f>
        <v>Toro</v>
      </c>
      <c r="K25" s="160">
        <v>290</v>
      </c>
    </row>
    <row r="26" spans="1:11" hidden="1" x14ac:dyDescent="0.25">
      <c r="A26" s="193">
        <v>45252</v>
      </c>
      <c r="B26" s="115" t="s">
        <v>382</v>
      </c>
      <c r="C26" s="193" t="str">
        <f>VLOOKUP(Controlpesos[[#This Row],[Numero]],Fichas[#All],2,FALSE)</f>
        <v>H DE Yolimar 1</v>
      </c>
      <c r="D26" s="197">
        <v>183</v>
      </c>
      <c r="F26" s="190" t="s">
        <v>382</v>
      </c>
      <c r="G26" s="156" t="str">
        <f>VLOOKUP(Controlpesos2[[#This Row],[Numero]],Fichas[#All],2,FALSE)</f>
        <v>H DE Yolimar 1</v>
      </c>
      <c r="H26" s="156">
        <f>VLOOKUP(Controlpesos2[[#This Row],[Numero]],Fichas[#All],3,FALSE)</f>
        <v>44640</v>
      </c>
      <c r="I26" s="156" t="str">
        <f>VLOOKUP(Controlpesos2[[#This Row],[Numero]],Fichas[#All],4,FALSE)</f>
        <v>Hembra</v>
      </c>
      <c r="J26" s="156" t="str">
        <f>VLOOKUP(Controlpesos2[[#This Row],[Numero]],Fichas[#All],8,FALSE)</f>
        <v>Mauta</v>
      </c>
      <c r="K26" s="160">
        <v>183</v>
      </c>
    </row>
    <row r="27" spans="1:11" hidden="1" x14ac:dyDescent="0.25">
      <c r="A27" s="156">
        <v>45252</v>
      </c>
      <c r="B27" s="194" t="s">
        <v>383</v>
      </c>
      <c r="C27" s="156" t="str">
        <f>VLOOKUP(Controlpesos[[#This Row],[Numero]],Fichas[#All],2,FALSE)</f>
        <v>H DE  Maria Jose</v>
      </c>
      <c r="D27" s="160">
        <v>267</v>
      </c>
      <c r="F27" s="190" t="s">
        <v>383</v>
      </c>
      <c r="G27" s="156" t="str">
        <f>VLOOKUP(Controlpesos2[[#This Row],[Numero]],Fichas[#All],2,FALSE)</f>
        <v>H DE  Maria Jose</v>
      </c>
      <c r="H27" s="156">
        <f>VLOOKUP(Controlpesos2[[#This Row],[Numero]],Fichas[#All],3,FALSE)</f>
        <v>44647</v>
      </c>
      <c r="I27" s="156" t="str">
        <f>VLOOKUP(Controlpesos2[[#This Row],[Numero]],Fichas[#All],4,FALSE)</f>
        <v>Hembra</v>
      </c>
      <c r="J27" s="156" t="str">
        <f>VLOOKUP(Controlpesos2[[#This Row],[Numero]],Fichas[#All],8,FALSE)</f>
        <v>Mauta</v>
      </c>
      <c r="K27" s="160">
        <v>267</v>
      </c>
    </row>
    <row r="28" spans="1:11" hidden="1" x14ac:dyDescent="0.25">
      <c r="A28" s="193">
        <v>45252</v>
      </c>
      <c r="B28" s="115" t="s">
        <v>341</v>
      </c>
      <c r="C28" s="193" t="str">
        <f>VLOOKUP(Controlpesos[[#This Row],[Numero]],Fichas[#All],2,FALSE)</f>
        <v>H DE  ESTRELLA</v>
      </c>
      <c r="D28" s="197">
        <v>185</v>
      </c>
      <c r="F28" s="190" t="s">
        <v>341</v>
      </c>
      <c r="G28" s="156" t="str">
        <f>VLOOKUP(Controlpesos2[[#This Row],[Numero]],Fichas[#All],2,FALSE)</f>
        <v>H DE  ESTRELLA</v>
      </c>
      <c r="H28" s="156">
        <f>VLOOKUP(Controlpesos2[[#This Row],[Numero]],Fichas[#All],3,FALSE)</f>
        <v>44725</v>
      </c>
      <c r="I28" s="156" t="str">
        <f>VLOOKUP(Controlpesos2[[#This Row],[Numero]],Fichas[#All],4,FALSE)</f>
        <v>Hembra</v>
      </c>
      <c r="J28" s="156" t="str">
        <f>VLOOKUP(Controlpesos2[[#This Row],[Numero]],Fichas[#All],8,FALSE)</f>
        <v>Mauta</v>
      </c>
      <c r="K28" s="160">
        <v>185</v>
      </c>
    </row>
    <row r="29" spans="1:11" hidden="1" x14ac:dyDescent="0.25">
      <c r="A29" s="156">
        <v>45252</v>
      </c>
      <c r="B29" s="194" t="s">
        <v>384</v>
      </c>
      <c r="C29" s="156" t="str">
        <f>VLOOKUP(Controlpesos[[#This Row],[Numero]],Fichas[#All],2,FALSE)</f>
        <v>H DE  Morena</v>
      </c>
      <c r="D29" s="160">
        <v>184</v>
      </c>
      <c r="F29" s="190" t="s">
        <v>384</v>
      </c>
      <c r="G29" s="156" t="str">
        <f>VLOOKUP(Controlpesos2[[#This Row],[Numero]],Fichas[#All],2,FALSE)</f>
        <v>H DE  Morena</v>
      </c>
      <c r="H29" s="156">
        <f>VLOOKUP(Controlpesos2[[#This Row],[Numero]],Fichas[#All],3,FALSE)</f>
        <v>44749</v>
      </c>
      <c r="I29" s="156" t="str">
        <f>VLOOKUP(Controlpesos2[[#This Row],[Numero]],Fichas[#All],4,FALSE)</f>
        <v>Hembra</v>
      </c>
      <c r="J29" s="156" t="str">
        <f>VLOOKUP(Controlpesos2[[#This Row],[Numero]],Fichas[#All],8,FALSE)</f>
        <v>Mauta</v>
      </c>
      <c r="K29" s="160">
        <v>184</v>
      </c>
    </row>
    <row r="30" spans="1:11" hidden="1" x14ac:dyDescent="0.25">
      <c r="A30" s="193">
        <v>45252</v>
      </c>
      <c r="B30" s="115" t="s">
        <v>342</v>
      </c>
      <c r="C30" s="193" t="str">
        <f>VLOOKUP(Controlpesos[[#This Row],[Numero]],Fichas[#All],2,FALSE)</f>
        <v>H DE  OJOS NEGROS</v>
      </c>
      <c r="D30" s="197">
        <v>220</v>
      </c>
      <c r="F30" s="190" t="s">
        <v>342</v>
      </c>
      <c r="G30" s="156" t="str">
        <f>VLOOKUP(Controlpesos2[[#This Row],[Numero]],Fichas[#All],2,FALSE)</f>
        <v>H DE  OJOS NEGROS</v>
      </c>
      <c r="H30" s="156">
        <f>VLOOKUP(Controlpesos2[[#This Row],[Numero]],Fichas[#All],3,FALSE)</f>
        <v>44789</v>
      </c>
      <c r="I30" s="156" t="str">
        <f>VLOOKUP(Controlpesos2[[#This Row],[Numero]],Fichas[#All],4,FALSE)</f>
        <v>Hembra</v>
      </c>
      <c r="J30" s="156" t="str">
        <f>VLOOKUP(Controlpesos2[[#This Row],[Numero]],Fichas[#All],8,FALSE)</f>
        <v>Mauta</v>
      </c>
      <c r="K30" s="160">
        <v>220</v>
      </c>
    </row>
    <row r="31" spans="1:11" hidden="1" x14ac:dyDescent="0.25">
      <c r="A31" s="156">
        <v>45252</v>
      </c>
      <c r="B31" s="195" t="s">
        <v>468</v>
      </c>
      <c r="C31" s="196" t="str">
        <f>VLOOKUP(Controlpesos[[#This Row],[Numero]],Fichas[#All],2,FALSE)</f>
        <v>H DE  Esperanza</v>
      </c>
      <c r="D31" s="198">
        <v>166</v>
      </c>
      <c r="F31" s="191" t="s">
        <v>468</v>
      </c>
      <c r="G31" s="159" t="str">
        <f>VLOOKUP(Controlpesos2[[#This Row],[Numero]],Fichas[#All],2,FALSE)</f>
        <v>H DE  Esperanza</v>
      </c>
      <c r="H31" s="185">
        <f>VLOOKUP(Controlpesos2[[#This Row],[Numero]],Fichas[#All],3,FALSE)</f>
        <v>44814</v>
      </c>
      <c r="I31" s="187" t="str">
        <f>VLOOKUP(Controlpesos2[[#This Row],[Numero]],Fichas[#All],4,FALSE)</f>
        <v>Macho</v>
      </c>
      <c r="J31" s="187" t="str">
        <f>VLOOKUP(Controlpesos2[[#This Row],[Numero]],Fichas[#All],8,FALSE)</f>
        <v>Maute</v>
      </c>
      <c r="K31" s="161">
        <v>166</v>
      </c>
    </row>
    <row r="32" spans="1:11" x14ac:dyDescent="0.25">
      <c r="A32" s="193">
        <v>45252</v>
      </c>
      <c r="B32" s="115" t="s">
        <v>385</v>
      </c>
      <c r="C32" s="193" t="str">
        <f>VLOOKUP(Controlpesos[[#This Row],[Numero]],Fichas[#All],2,FALSE)</f>
        <v>H DE  TRANCO LARGO</v>
      </c>
      <c r="D32" s="197">
        <v>164</v>
      </c>
      <c r="F32" s="190" t="s">
        <v>385</v>
      </c>
      <c r="G32" s="156" t="str">
        <f>VLOOKUP(Controlpesos2[[#This Row],[Numero]],Fichas[#All],2,FALSE)</f>
        <v>H DE  TRANCO LARGO</v>
      </c>
      <c r="H32" s="156">
        <f>VLOOKUP(Controlpesos2[[#This Row],[Numero]],Fichas[#All],3,FALSE)</f>
        <v>44836</v>
      </c>
      <c r="I32" s="156" t="str">
        <f>VLOOKUP(Controlpesos2[[#This Row],[Numero]],Fichas[#All],4,FALSE)</f>
        <v>Macho</v>
      </c>
      <c r="J32" s="156" t="str">
        <f>VLOOKUP(Controlpesos2[[#This Row],[Numero]],Fichas[#All],8,FALSE)</f>
        <v>Maute</v>
      </c>
      <c r="K32" s="160">
        <v>164</v>
      </c>
    </row>
    <row r="33" spans="1:11" ht="15.75" hidden="1" customHeight="1" x14ac:dyDescent="0.25">
      <c r="A33" s="156">
        <v>45252</v>
      </c>
      <c r="B33" s="194" t="s">
        <v>343</v>
      </c>
      <c r="C33" s="156" t="str">
        <f>VLOOKUP(Controlpesos[[#This Row],[Numero]],Fichas[#All],2,FALSE)</f>
        <v>H DE  VENAITA</v>
      </c>
      <c r="D33" s="160">
        <v>138</v>
      </c>
      <c r="F33" s="190" t="s">
        <v>343</v>
      </c>
      <c r="G33" s="156" t="str">
        <f>VLOOKUP(Controlpesos2[[#This Row],[Numero]],Fichas[#All],2,FALSE)</f>
        <v>H DE  VENAITA</v>
      </c>
      <c r="H33" s="156">
        <f>VLOOKUP(Controlpesos2[[#This Row],[Numero]],Fichas[#All],3,FALSE)</f>
        <v>44858</v>
      </c>
      <c r="I33" s="156" t="str">
        <f>VLOOKUP(Controlpesos2[[#This Row],[Numero]],Fichas[#All],4,FALSE)</f>
        <v>Hembra</v>
      </c>
      <c r="J33" s="156" t="str">
        <f>VLOOKUP(Controlpesos2[[#This Row],[Numero]],Fichas[#All],8,FALSE)</f>
        <v>Mauta</v>
      </c>
      <c r="K33" s="160">
        <v>138</v>
      </c>
    </row>
    <row r="34" spans="1:11" ht="15.75" hidden="1" customHeight="1" x14ac:dyDescent="0.25">
      <c r="A34" s="193">
        <v>45252</v>
      </c>
      <c r="B34" s="115" t="s">
        <v>344</v>
      </c>
      <c r="C34" s="193" t="str">
        <f>VLOOKUP(Controlpesos[[#This Row],[Numero]],Fichas[#All],2,FALSE)</f>
        <v>H DE  PARDA</v>
      </c>
      <c r="D34" s="197">
        <v>175</v>
      </c>
      <c r="F34" s="190" t="s">
        <v>344</v>
      </c>
      <c r="G34" s="156" t="str">
        <f>VLOOKUP(Controlpesos2[[#This Row],[Numero]],Fichas[#All],2,FALSE)</f>
        <v>H DE  PARDA</v>
      </c>
      <c r="H34" s="156">
        <f>VLOOKUP(Controlpesos2[[#This Row],[Numero]],Fichas[#All],3,FALSE)</f>
        <v>44894</v>
      </c>
      <c r="I34" s="156" t="str">
        <f>VLOOKUP(Controlpesos2[[#This Row],[Numero]],Fichas[#All],4,FALSE)</f>
        <v>Hembra</v>
      </c>
      <c r="J34" s="156" t="str">
        <f>VLOOKUP(Controlpesos2[[#This Row],[Numero]],Fichas[#All],8,FALSE)</f>
        <v>Mauta</v>
      </c>
      <c r="K34" s="160">
        <v>175</v>
      </c>
    </row>
    <row r="35" spans="1:11" ht="15.75" hidden="1" customHeight="1" x14ac:dyDescent="0.25">
      <c r="A35" s="156">
        <v>45252</v>
      </c>
      <c r="B35" s="194" t="s">
        <v>386</v>
      </c>
      <c r="C35" s="156" t="str">
        <f>VLOOKUP(Controlpesos[[#This Row],[Numero]],Fichas[#All],2,FALSE)</f>
        <v>H DE  ORIANA</v>
      </c>
      <c r="D35" s="160">
        <v>142</v>
      </c>
      <c r="F35" s="190" t="s">
        <v>386</v>
      </c>
      <c r="G35" s="156" t="str">
        <f>VLOOKUP(Controlpesos2[[#This Row],[Numero]],Fichas[#All],2,FALSE)</f>
        <v>H DE  ORIANA</v>
      </c>
      <c r="H35" s="156">
        <f>VLOOKUP(Controlpesos2[[#This Row],[Numero]],Fichas[#All],3,FALSE)</f>
        <v>44910</v>
      </c>
      <c r="I35" s="156" t="str">
        <f>VLOOKUP(Controlpesos2[[#This Row],[Numero]],Fichas[#All],4,FALSE)</f>
        <v>Macho</v>
      </c>
      <c r="J35" s="156" t="str">
        <f>VLOOKUP(Controlpesos2[[#This Row],[Numero]],Fichas[#All],8,FALSE)</f>
        <v>Maute</v>
      </c>
      <c r="K35" s="160">
        <v>142</v>
      </c>
    </row>
    <row r="36" spans="1:11" ht="15.75" hidden="1" customHeight="1" x14ac:dyDescent="0.25">
      <c r="A36" s="193">
        <v>45252</v>
      </c>
      <c r="B36" s="115" t="s">
        <v>387</v>
      </c>
      <c r="C36" s="193" t="str">
        <f>VLOOKUP(Controlpesos[[#This Row],[Numero]],Fichas[#All],2,FALSE)</f>
        <v>H DE  GACHA</v>
      </c>
      <c r="D36" s="197">
        <v>140</v>
      </c>
      <c r="F36" s="190" t="s">
        <v>387</v>
      </c>
      <c r="G36" s="156" t="str">
        <f>VLOOKUP(Controlpesos2[[#This Row],[Numero]],Fichas[#All],2,FALSE)</f>
        <v>H DE  GACHA</v>
      </c>
      <c r="H36" s="156">
        <f>VLOOKUP(Controlpesos2[[#This Row],[Numero]],Fichas[#All],3,FALSE)</f>
        <v>44944</v>
      </c>
      <c r="I36" s="156" t="str">
        <f>VLOOKUP(Controlpesos2[[#This Row],[Numero]],Fichas[#All],4,FALSE)</f>
        <v>Macho</v>
      </c>
      <c r="J36" s="156" t="str">
        <f>VLOOKUP(Controlpesos2[[#This Row],[Numero]],Fichas[#All],8,FALSE)</f>
        <v>Maute</v>
      </c>
      <c r="K36" s="160">
        <v>140</v>
      </c>
    </row>
    <row r="37" spans="1:11" ht="15.75" hidden="1" customHeight="1" x14ac:dyDescent="0.25">
      <c r="A37" s="156">
        <v>45252</v>
      </c>
      <c r="B37" s="194" t="s">
        <v>388</v>
      </c>
      <c r="C37" s="156" t="str">
        <f>VLOOKUP(Controlpesos[[#This Row],[Numero]],Fichas[#All],2,FALSE)</f>
        <v>H DE  YEGUA</v>
      </c>
      <c r="D37" s="160">
        <v>118</v>
      </c>
      <c r="F37" s="190" t="s">
        <v>388</v>
      </c>
      <c r="G37" s="156" t="str">
        <f>VLOOKUP(Controlpesos2[[#This Row],[Numero]],Fichas[#All],2,FALSE)</f>
        <v>H DE  YEGUA</v>
      </c>
      <c r="H37" s="156">
        <f>VLOOKUP(Controlpesos2[[#This Row],[Numero]],Fichas[#All],3,FALSE)</f>
        <v>44948</v>
      </c>
      <c r="I37" s="156" t="str">
        <f>VLOOKUP(Controlpesos2[[#This Row],[Numero]],Fichas[#All],4,FALSE)</f>
        <v>Macho</v>
      </c>
      <c r="J37" s="156" t="str">
        <f>VLOOKUP(Controlpesos2[[#This Row],[Numero]],Fichas[#All],8,FALSE)</f>
        <v>Maute</v>
      </c>
      <c r="K37" s="160">
        <v>118</v>
      </c>
    </row>
    <row r="38" spans="1:11" ht="15.75" hidden="1" customHeight="1" x14ac:dyDescent="0.25">
      <c r="A38" s="193">
        <v>45252</v>
      </c>
      <c r="B38" s="115" t="s">
        <v>389</v>
      </c>
      <c r="C38" s="193" t="str">
        <f>VLOOKUP(Controlpesos[[#This Row],[Numero]],Fichas[#All],2,FALSE)</f>
        <v>H DE  CONEJA</v>
      </c>
      <c r="D38" s="197">
        <v>110</v>
      </c>
      <c r="F38" s="190" t="s">
        <v>389</v>
      </c>
      <c r="G38" s="156" t="str">
        <f>VLOOKUP(Controlpesos2[[#This Row],[Numero]],Fichas[#All],2,FALSE)</f>
        <v>H DE  CONEJA</v>
      </c>
      <c r="H38" s="156">
        <f>VLOOKUP(Controlpesos2[[#This Row],[Numero]],Fichas[#All],3,FALSE)</f>
        <v>44955</v>
      </c>
      <c r="I38" s="156" t="str">
        <f>VLOOKUP(Controlpesos2[[#This Row],[Numero]],Fichas[#All],4,FALSE)</f>
        <v>Macho</v>
      </c>
      <c r="J38" s="156" t="str">
        <f>VLOOKUP(Controlpesos2[[#This Row],[Numero]],Fichas[#All],8,FALSE)</f>
        <v>Maute</v>
      </c>
      <c r="K38" s="160">
        <v>110</v>
      </c>
    </row>
    <row r="39" spans="1:11" ht="15.75" hidden="1" customHeight="1" x14ac:dyDescent="0.25">
      <c r="A39" s="156">
        <v>45252</v>
      </c>
      <c r="B39" s="194" t="s">
        <v>390</v>
      </c>
      <c r="C39" s="156" t="str">
        <f>VLOOKUP(Controlpesos[[#This Row],[Numero]],Fichas[#All],2,FALSE)</f>
        <v>H DE  LUNA</v>
      </c>
      <c r="D39" s="192">
        <v>126</v>
      </c>
      <c r="F39" s="190" t="s">
        <v>390</v>
      </c>
      <c r="G39" s="156" t="str">
        <f>VLOOKUP(Controlpesos2[[#This Row],[Numero]],Fichas[#All],2,FALSE)</f>
        <v>H DE  LUNA</v>
      </c>
      <c r="H39" s="156">
        <f>VLOOKUP(Controlpesos2[[#This Row],[Numero]],Fichas[#All],3,FALSE)</f>
        <v>45006</v>
      </c>
      <c r="I39" s="156" t="str">
        <f>VLOOKUP(Controlpesos2[[#This Row],[Numero]],Fichas[#All],4,FALSE)</f>
        <v>Macho</v>
      </c>
      <c r="J39" s="156" t="str">
        <f>VLOOKUP(Controlpesos2[[#This Row],[Numero]],Fichas[#All],8,FALSE)</f>
        <v>B Ordeño</v>
      </c>
      <c r="K39" s="192">
        <v>126</v>
      </c>
    </row>
    <row r="40" spans="1:11" ht="15.75" customHeight="1" x14ac:dyDescent="0.25">
      <c r="A40" s="193">
        <v>45252</v>
      </c>
      <c r="B40" s="115" t="s">
        <v>393</v>
      </c>
      <c r="C40" s="193" t="str">
        <f>VLOOKUP(Controlpesos[[#This Row],[Numero]],Fichas[#All],2,FALSE)</f>
        <v>H DE  Mariana</v>
      </c>
      <c r="D40" s="199">
        <v>90</v>
      </c>
      <c r="F40" s="190" t="s">
        <v>393</v>
      </c>
      <c r="G40" s="156" t="str">
        <f>VLOOKUP(Controlpesos2[[#This Row],[Numero]],Fichas[#All],2,FALSE)</f>
        <v>H DE  Mariana</v>
      </c>
      <c r="H40" s="156">
        <f>VLOOKUP(Controlpesos2[[#This Row],[Numero]],Fichas[#All],3,FALSE)</f>
        <v>45061</v>
      </c>
      <c r="I40" s="156" t="str">
        <f>VLOOKUP(Controlpesos2[[#This Row],[Numero]],Fichas[#All],4,FALSE)</f>
        <v>Hembra</v>
      </c>
      <c r="J40" s="156" t="str">
        <f>VLOOKUP(Controlpesos2[[#This Row],[Numero]],Fichas[#All],8,FALSE)</f>
        <v>Mauta</v>
      </c>
      <c r="K40" s="192">
        <v>90</v>
      </c>
    </row>
    <row r="41" spans="1:11" ht="15.75" customHeight="1" x14ac:dyDescent="0.25">
      <c r="A41" s="156">
        <v>45252</v>
      </c>
      <c r="B41" s="194" t="s">
        <v>392</v>
      </c>
      <c r="C41" s="156" t="str">
        <f>VLOOKUP(Controlpesos[[#This Row],[Numero]],Fichas[#All],2,FALSE)</f>
        <v>H DE  Estrella</v>
      </c>
      <c r="D41" s="192">
        <v>81</v>
      </c>
      <c r="F41" s="190" t="s">
        <v>392</v>
      </c>
      <c r="G41" s="156" t="str">
        <f>VLOOKUP(Controlpesos2[[#This Row],[Numero]],Fichas[#All],2,FALSE)</f>
        <v>H DE  Estrella</v>
      </c>
      <c r="H41" s="156">
        <f>VLOOKUP(Controlpesos2[[#This Row],[Numero]],Fichas[#All],3,FALSE)</f>
        <v>45095</v>
      </c>
      <c r="I41" s="156" t="str">
        <f>VLOOKUP(Controlpesos2[[#This Row],[Numero]],Fichas[#All],4,FALSE)</f>
        <v>Hembra</v>
      </c>
      <c r="J41" s="156" t="str">
        <f>VLOOKUP(Controlpesos2[[#This Row],[Numero]],Fichas[#All],8,FALSE)</f>
        <v>Mauta</v>
      </c>
      <c r="K41" s="192">
        <v>81</v>
      </c>
    </row>
    <row r="42" spans="1:11" ht="15.75" customHeight="1" x14ac:dyDescent="0.25">
      <c r="A42" s="193">
        <v>45252</v>
      </c>
      <c r="B42" s="115" t="s">
        <v>394</v>
      </c>
      <c r="C42" s="193" t="str">
        <f>VLOOKUP(Controlpesos[[#This Row],[Numero]],Fichas[#All],2,FALSE)</f>
        <v>H DE  Morena</v>
      </c>
      <c r="D42" s="199">
        <v>84</v>
      </c>
      <c r="F42" s="190" t="s">
        <v>394</v>
      </c>
      <c r="G42" s="156" t="str">
        <f>VLOOKUP(Controlpesos2[[#This Row],[Numero]],Fichas[#All],2,FALSE)</f>
        <v>H DE  Morena</v>
      </c>
      <c r="H42" s="156">
        <f>VLOOKUP(Controlpesos2[[#This Row],[Numero]],Fichas[#All],3,FALSE)</f>
        <v>45120</v>
      </c>
      <c r="I42" s="156" t="str">
        <f>VLOOKUP(Controlpesos2[[#This Row],[Numero]],Fichas[#All],4,FALSE)</f>
        <v>Macho</v>
      </c>
      <c r="J42" s="156" t="str">
        <f>VLOOKUP(Controlpesos2[[#This Row],[Numero]],Fichas[#All],8,FALSE)</f>
        <v>B Ordeño</v>
      </c>
      <c r="K42" s="192">
        <v>84</v>
      </c>
    </row>
    <row r="43" spans="1:11" ht="15.75" customHeight="1" x14ac:dyDescent="0.25">
      <c r="A43" s="156">
        <v>45252</v>
      </c>
      <c r="B43" s="194" t="s">
        <v>395</v>
      </c>
      <c r="C43" s="156" t="str">
        <f>VLOOKUP(Controlpesos[[#This Row],[Numero]],Fichas[#All],2,FALSE)</f>
        <v>H DE  Toncha</v>
      </c>
      <c r="D43" s="192">
        <v>66</v>
      </c>
      <c r="F43" s="190" t="s">
        <v>395</v>
      </c>
      <c r="G43" s="156" t="str">
        <f>VLOOKUP(Controlpesos2[[#This Row],[Numero]],Fichas[#All],2,FALSE)</f>
        <v>H DE  Toncha</v>
      </c>
      <c r="H43" s="156">
        <f>VLOOKUP(Controlpesos2[[#This Row],[Numero]],Fichas[#All],3,FALSE)</f>
        <v>45126</v>
      </c>
      <c r="I43" s="156" t="str">
        <f>VLOOKUP(Controlpesos2[[#This Row],[Numero]],Fichas[#All],4,FALSE)</f>
        <v>Hembra</v>
      </c>
      <c r="J43" s="156" t="str">
        <f>VLOOKUP(Controlpesos2[[#This Row],[Numero]],Fichas[#All],8,FALSE)</f>
        <v>Mauta</v>
      </c>
      <c r="K43" s="192">
        <v>66</v>
      </c>
    </row>
    <row r="44" spans="1:11" ht="15.75" customHeight="1" x14ac:dyDescent="0.25">
      <c r="A44" s="193">
        <v>45252</v>
      </c>
      <c r="B44" s="115" t="s">
        <v>396</v>
      </c>
      <c r="C44" s="193" t="str">
        <f>VLOOKUP(Controlpesos[[#This Row],[Numero]],Fichas[#All],2,FALSE)</f>
        <v>H DE  Yolimar</v>
      </c>
      <c r="D44" s="199">
        <v>49</v>
      </c>
      <c r="F44" s="190" t="s">
        <v>396</v>
      </c>
      <c r="G44" s="156" t="str">
        <f>VLOOKUP(Controlpesos2[[#This Row],[Numero]],Fichas[#All],2,FALSE)</f>
        <v>H DE  Yolimar</v>
      </c>
      <c r="H44" s="156">
        <f>VLOOKUP(Controlpesos2[[#This Row],[Numero]],Fichas[#All],3,FALSE)</f>
        <v>45145</v>
      </c>
      <c r="I44" s="156" t="str">
        <f>VLOOKUP(Controlpesos2[[#This Row],[Numero]],Fichas[#All],4,FALSE)</f>
        <v>Hembra</v>
      </c>
      <c r="J44" s="156" t="str">
        <f>VLOOKUP(Controlpesos2[[#This Row],[Numero]],Fichas[#All],8,FALSE)</f>
        <v>B Ordeño</v>
      </c>
      <c r="K44" s="192">
        <v>49</v>
      </c>
    </row>
    <row r="45" spans="1:11" ht="15.75" customHeight="1" x14ac:dyDescent="0.25">
      <c r="A45" s="156">
        <v>45252</v>
      </c>
      <c r="B45" s="194" t="s">
        <v>445</v>
      </c>
      <c r="C45" s="156" t="str">
        <f>VLOOKUP(Controlpesos[[#This Row],[Numero]],Fichas[#All],2,FALSE)</f>
        <v>H DE  Maria Jose</v>
      </c>
      <c r="D45" s="192">
        <v>34</v>
      </c>
      <c r="F45" s="190" t="s">
        <v>445</v>
      </c>
      <c r="G45" s="156" t="str">
        <f>VLOOKUP(Controlpesos2[[#This Row],[Numero]],Fichas[#All],2,FALSE)</f>
        <v>H DE  Maria Jose</v>
      </c>
      <c r="H45" s="186">
        <f>VLOOKUP(Controlpesos2[[#This Row],[Numero]],Fichas[#All],3,FALSE)</f>
        <v>45219</v>
      </c>
      <c r="I45" s="186" t="str">
        <f>VLOOKUP(Controlpesos2[[#This Row],[Numero]],Fichas[#All],4,FALSE)</f>
        <v>Macho</v>
      </c>
      <c r="J45" s="188" t="str">
        <f>VLOOKUP(Controlpesos2[[#This Row],[Numero]],Fichas[#All],8,FALSE)</f>
        <v>B Ordeño</v>
      </c>
      <c r="K45" s="192">
        <v>34</v>
      </c>
    </row>
    <row r="46" spans="1:11" ht="15.75" customHeight="1" x14ac:dyDescent="0.25">
      <c r="A46" s="193">
        <v>45252</v>
      </c>
      <c r="B46" s="115" t="s">
        <v>446</v>
      </c>
      <c r="C46" s="193" t="str">
        <f>VLOOKUP(Controlpesos[[#This Row],[Numero]],Fichas[#All],2,FALSE)</f>
        <v>H DE  La Negra</v>
      </c>
      <c r="D46" s="199">
        <v>30</v>
      </c>
      <c r="F46" s="190" t="s">
        <v>446</v>
      </c>
      <c r="G46" s="156" t="str">
        <f>VLOOKUP(Controlpesos2[[#This Row],[Numero]],Fichas[#All],2,FALSE)</f>
        <v>H DE  La Negra</v>
      </c>
      <c r="H46" s="186">
        <f>VLOOKUP(Controlpesos2[[#This Row],[Numero]],Fichas[#All],3,FALSE)</f>
        <v>45220</v>
      </c>
      <c r="I46" s="186" t="str">
        <f>VLOOKUP(Controlpesos2[[#This Row],[Numero]],Fichas[#All],4,FALSE)</f>
        <v>Hembra</v>
      </c>
      <c r="J46" s="188" t="str">
        <f>VLOOKUP(Controlpesos2[[#This Row],[Numero]],Fichas[#All],8,FALSE)</f>
        <v>B Ordeño</v>
      </c>
      <c r="K46" s="192">
        <v>30</v>
      </c>
    </row>
    <row r="47" spans="1:11" ht="15.75" customHeight="1" x14ac:dyDescent="0.25">
      <c r="A47" s="156">
        <v>45252</v>
      </c>
      <c r="B47" s="194" t="s">
        <v>465</v>
      </c>
      <c r="C47" s="186" t="str">
        <f>VLOOKUP(Controlpesos[[#This Row],[Numero]],Fichas[#All],2,FALSE)</f>
        <v>H DE  TRANCO LARGO</v>
      </c>
      <c r="D47" s="192">
        <v>45</v>
      </c>
      <c r="F47" s="190" t="s">
        <v>465</v>
      </c>
      <c r="G47" s="186" t="str">
        <f>VLOOKUP(Controlpesos2[[#This Row],[Numero]],Fichas[#All],2,FALSE)</f>
        <v>H DE  TRANCO LARGO</v>
      </c>
      <c r="H47" s="186">
        <f>VLOOKUP(Controlpesos2[[#This Row],[Numero]],Fichas[#All],3,FALSE)</f>
        <v>45237</v>
      </c>
      <c r="I47" s="186" t="str">
        <f>VLOOKUP(Controlpesos2[[#This Row],[Numero]],Fichas[#All],4,FALSE)</f>
        <v>Hembra</v>
      </c>
      <c r="J47" s="188" t="str">
        <f>VLOOKUP(Controlpesos2[[#This Row],[Numero]],Fichas[#All],8,FALSE)</f>
        <v>Mauta</v>
      </c>
      <c r="K47" s="192">
        <v>45</v>
      </c>
    </row>
    <row r="48" spans="1:11" ht="15.75" customHeight="1" x14ac:dyDescent="0.25">
      <c r="A48" s="204">
        <v>45252</v>
      </c>
      <c r="B48" s="205" t="s">
        <v>466</v>
      </c>
      <c r="C48" s="186" t="str">
        <f>VLOOKUP(Controlpesos[[#This Row],[Numero]],Fichas[#All],2,FALSE)</f>
        <v>H DE  Esperanza</v>
      </c>
      <c r="D48" s="206">
        <v>37</v>
      </c>
      <c r="F48" s="190" t="s">
        <v>466</v>
      </c>
      <c r="G48" s="156" t="str">
        <f>VLOOKUP(Controlpesos2[[#This Row],[Numero]],Fichas[#All],2,FALSE)</f>
        <v>H DE  Esperanza</v>
      </c>
      <c r="H48" s="186">
        <f>VLOOKUP(Controlpesos2[[#This Row],[Numero]],Fichas[#All],3,FALSE)</f>
        <v>45240</v>
      </c>
      <c r="I48" s="186" t="str">
        <f>VLOOKUP(Controlpesos2[[#This Row],[Numero]],Fichas[#All],4,FALSE)</f>
        <v>Macho</v>
      </c>
      <c r="J48" s="188" t="str">
        <f>VLOOKUP(Controlpesos2[[#This Row],[Numero]],Fichas[#All],8,FALSE)</f>
        <v>B Ordeño</v>
      </c>
      <c r="K48" s="192">
        <v>37</v>
      </c>
    </row>
    <row r="49" spans="1:11" ht="15.75" thickBot="1" x14ac:dyDescent="0.3">
      <c r="A49" s="156">
        <v>45629</v>
      </c>
      <c r="B49" s="194" t="s">
        <v>393</v>
      </c>
      <c r="C49" s="186" t="str">
        <f>VLOOKUP(Controlpesos[[#This Row],[Numero]],Fichas[#All],2,FALSE)</f>
        <v>H DE  Mariana</v>
      </c>
      <c r="D49" s="472">
        <v>236</v>
      </c>
      <c r="E49" s="153">
        <v>252</v>
      </c>
      <c r="F49" s="157" t="s">
        <v>75</v>
      </c>
      <c r="G49" s="158"/>
      <c r="H49" s="158"/>
      <c r="I49" s="209"/>
      <c r="J49" s="158">
        <f>SUBTOTAL(103,Controlpesos2[Tipo])</f>
        <v>29</v>
      </c>
      <c r="K49" s="100">
        <f>SUBTOTAL(109,Controlpesos2[22/11/2023])</f>
        <v>9204</v>
      </c>
    </row>
    <row r="50" spans="1:11" ht="15.75" thickTop="1" x14ac:dyDescent="0.25">
      <c r="A50" s="204">
        <v>45629</v>
      </c>
      <c r="B50" s="205" t="s">
        <v>394</v>
      </c>
      <c r="C50" s="186" t="str">
        <f>VLOOKUP(Controlpesos[[#This Row],[Numero]],Fichas[#All],2,FALSE)</f>
        <v>H DE  Morena</v>
      </c>
      <c r="D50" s="473">
        <v>187</v>
      </c>
      <c r="E50" s="153">
        <v>201</v>
      </c>
      <c r="J50" s="210">
        <v>1.2</v>
      </c>
      <c r="K50" s="211">
        <f>J50*Controlpesos2[[#Totals],[22/11/2023]]</f>
        <v>11044.8</v>
      </c>
    </row>
    <row r="51" spans="1:11" x14ac:dyDescent="0.25">
      <c r="A51" s="156">
        <v>45629</v>
      </c>
      <c r="B51" s="194" t="s">
        <v>445</v>
      </c>
      <c r="C51" s="186" t="str">
        <f>VLOOKUP(Controlpesos[[#This Row],[Numero]],Fichas[#All],2,FALSE)</f>
        <v>H DE  Maria Jose</v>
      </c>
      <c r="D51" s="472">
        <v>164</v>
      </c>
      <c r="E51" s="153">
        <v>175</v>
      </c>
    </row>
    <row r="52" spans="1:11" x14ac:dyDescent="0.25">
      <c r="A52" s="204">
        <v>45629</v>
      </c>
      <c r="B52" s="205" t="s">
        <v>466</v>
      </c>
      <c r="C52" s="186" t="str">
        <f>VLOOKUP(Controlpesos[[#This Row],[Numero]],Fichas[#All],2,FALSE)</f>
        <v>H DE  Esperanza</v>
      </c>
      <c r="D52" s="473">
        <v>103</v>
      </c>
      <c r="E52" s="153">
        <v>112</v>
      </c>
    </row>
    <row r="53" spans="1:11" x14ac:dyDescent="0.25">
      <c r="A53" s="156">
        <v>45629</v>
      </c>
      <c r="B53" s="194" t="s">
        <v>392</v>
      </c>
      <c r="C53" s="186" t="str">
        <f>VLOOKUP(Controlpesos[[#This Row],[Numero]],Fichas[#All],2,FALSE)</f>
        <v>H DE  Estrella</v>
      </c>
      <c r="D53" s="472">
        <v>220</v>
      </c>
    </row>
    <row r="54" spans="1:11" x14ac:dyDescent="0.25">
      <c r="A54" s="204">
        <v>45629</v>
      </c>
      <c r="B54" s="205" t="s">
        <v>395</v>
      </c>
      <c r="C54" s="186" t="str">
        <f>VLOOKUP(Controlpesos[[#This Row],[Numero]],Fichas[#All],2,FALSE)</f>
        <v>H DE  Toncha</v>
      </c>
      <c r="D54" s="473"/>
    </row>
    <row r="55" spans="1:11" x14ac:dyDescent="0.25">
      <c r="A55" s="156">
        <v>45629</v>
      </c>
      <c r="B55" s="194" t="s">
        <v>465</v>
      </c>
      <c r="C55" s="186" t="str">
        <f>VLOOKUP(Controlpesos[[#This Row],[Numero]],Fichas[#All],2,FALSE)</f>
        <v>H DE  TRANCO LARGO</v>
      </c>
      <c r="D55" s="472">
        <v>226</v>
      </c>
    </row>
    <row r="56" spans="1:11" x14ac:dyDescent="0.25">
      <c r="A56" s="204">
        <v>45629</v>
      </c>
      <c r="B56" s="205" t="s">
        <v>481</v>
      </c>
      <c r="C56" s="186" t="str">
        <f>VLOOKUP(Controlpesos[[#This Row],[Numero]],Fichas[#All],2,FALSE)</f>
        <v>H DE  LA YEGUA</v>
      </c>
      <c r="D56" s="473">
        <v>265</v>
      </c>
    </row>
    <row r="57" spans="1:11" x14ac:dyDescent="0.25">
      <c r="A57" s="156">
        <v>45629</v>
      </c>
      <c r="B57" s="194" t="s">
        <v>498</v>
      </c>
      <c r="C57" s="186" t="str">
        <f>VLOOKUP(Controlpesos[[#This Row],[Numero]],Fichas[#All],2,FALSE)</f>
        <v>H DE  VENAITA</v>
      </c>
      <c r="D57" s="472">
        <v>101</v>
      </c>
    </row>
    <row r="58" spans="1:11" x14ac:dyDescent="0.25">
      <c r="A58" s="204">
        <v>45629</v>
      </c>
      <c r="B58" s="205" t="s">
        <v>513</v>
      </c>
      <c r="C58" s="186" t="str">
        <f>VLOOKUP(Controlpesos[[#This Row],[Numero]],Fichas[#All],2,FALSE)</f>
        <v>H DE  OJOS NEGROS</v>
      </c>
      <c r="D58" s="473">
        <v>126</v>
      </c>
    </row>
    <row r="59" spans="1:11" x14ac:dyDescent="0.25">
      <c r="A59" s="156">
        <v>45629</v>
      </c>
      <c r="B59" s="194" t="s">
        <v>514</v>
      </c>
      <c r="C59" s="186" t="str">
        <f>VLOOKUP(Controlpesos[[#This Row],[Numero]],Fichas[#All],2,FALSE)</f>
        <v>H DE  CONEJA</v>
      </c>
      <c r="D59" s="472">
        <v>124</v>
      </c>
      <c r="E59" s="153">
        <v>135</v>
      </c>
    </row>
    <row r="60" spans="1:11" x14ac:dyDescent="0.25">
      <c r="A60" s="204">
        <v>45629</v>
      </c>
      <c r="B60" s="205" t="s">
        <v>534</v>
      </c>
      <c r="C60" s="186" t="str">
        <f>VLOOKUP(Controlpesos[[#This Row],[Numero]],Fichas[#All],2,FALSE)</f>
        <v>H DE  PARDA</v>
      </c>
      <c r="D60" s="473"/>
    </row>
    <row r="61" spans="1:11" x14ac:dyDescent="0.25">
      <c r="A61" s="156">
        <v>45629</v>
      </c>
      <c r="B61" s="194" t="s">
        <v>536</v>
      </c>
      <c r="C61" s="186" t="str">
        <f>VLOOKUP(Controlpesos[[#This Row],[Numero]],Fichas[#All],2,FALSE)</f>
        <v>H DE  ORIANA</v>
      </c>
      <c r="D61" s="472"/>
    </row>
    <row r="62" spans="1:11" x14ac:dyDescent="0.25">
      <c r="A62" s="204">
        <v>45629</v>
      </c>
      <c r="B62" s="205" t="s">
        <v>590</v>
      </c>
      <c r="C62" s="186" t="str">
        <f>VLOOKUP(Controlpesos[[#This Row],[Numero]],Fichas[#All],2,FALSE)</f>
        <v>H DE  Luna</v>
      </c>
      <c r="D62" s="473"/>
    </row>
    <row r="63" spans="1:11" x14ac:dyDescent="0.25">
      <c r="A63" s="156">
        <v>45629</v>
      </c>
      <c r="B63" s="194" t="s">
        <v>591</v>
      </c>
      <c r="C63" s="186" t="str">
        <f>VLOOKUP(Controlpesos[[#This Row],[Numero]],Fichas[#All],2,FALSE)</f>
        <v>Maria Corina</v>
      </c>
      <c r="D63" s="472">
        <v>29</v>
      </c>
    </row>
    <row r="64" spans="1:11" x14ac:dyDescent="0.25">
      <c r="A64" s="204">
        <v>45629</v>
      </c>
      <c r="B64" s="205" t="s">
        <v>605</v>
      </c>
      <c r="C64" s="186" t="str">
        <f>VLOOKUP(Controlpesos[[#This Row],[Numero]],Fichas[#All],2,FALSE)</f>
        <v>H DE  TRANCO LARGO</v>
      </c>
      <c r="D64" s="473">
        <v>46</v>
      </c>
    </row>
    <row r="65" spans="1:4" x14ac:dyDescent="0.25">
      <c r="A65" s="156">
        <v>45629</v>
      </c>
      <c r="B65" s="194" t="s">
        <v>609</v>
      </c>
      <c r="C65" s="186" t="str">
        <f>VLOOKUP(Controlpesos[[#This Row],[Numero]],Fichas[#All],2,FALSE)</f>
        <v>H DE  Esperanza</v>
      </c>
      <c r="D65" s="472">
        <v>32</v>
      </c>
    </row>
    <row r="66" spans="1:4" x14ac:dyDescent="0.25">
      <c r="A66" s="204">
        <v>45629</v>
      </c>
      <c r="B66" s="205" t="s">
        <v>612</v>
      </c>
      <c r="C66" s="186" t="str">
        <f>VLOOKUP(Controlpesos[[#This Row],[Numero]],Fichas[#All],2,FALSE)</f>
        <v>H DE  Mariana</v>
      </c>
      <c r="D66" s="473">
        <v>30</v>
      </c>
    </row>
    <row r="67" spans="1:4" x14ac:dyDescent="0.25">
      <c r="A67" s="156">
        <v>45629</v>
      </c>
      <c r="B67" s="194" t="s">
        <v>616</v>
      </c>
      <c r="C67" s="186" t="str">
        <f>VLOOKUP(Controlpesos[[#This Row],[Numero]],Fichas[#All],2,FALSE)</f>
        <v>H DE  Parda</v>
      </c>
      <c r="D67" s="472">
        <v>22</v>
      </c>
    </row>
    <row r="68" spans="1:4" x14ac:dyDescent="0.25">
      <c r="A68" s="204">
        <v>45629</v>
      </c>
      <c r="B68" s="205" t="s">
        <v>617</v>
      </c>
      <c r="C68" s="186" t="str">
        <f>VLOOKUP(Controlpesos[[#This Row],[Numero]],Fichas[#All],2,FALSE)</f>
        <v>H DE  Yegua</v>
      </c>
      <c r="D68" s="473">
        <v>25</v>
      </c>
    </row>
  </sheetData>
  <phoneticPr fontId="3" type="noConversion"/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8"/>
  <dimension ref="B29:D30"/>
  <sheetViews>
    <sheetView topLeftCell="A10" workbookViewId="0">
      <selection activeCell="D31" sqref="D31"/>
    </sheetView>
  </sheetViews>
  <sheetFormatPr baseColWidth="10" defaultColWidth="10.7109375" defaultRowHeight="15" x14ac:dyDescent="0.25"/>
  <sheetData>
    <row r="29" spans="2:4" x14ac:dyDescent="0.25">
      <c r="B29" t="s">
        <v>721</v>
      </c>
      <c r="D29" t="s">
        <v>720</v>
      </c>
    </row>
    <row r="30" spans="2:4" x14ac:dyDescent="0.25">
      <c r="B30" t="s">
        <v>722</v>
      </c>
      <c r="D30" t="s">
        <v>723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9"/>
  <dimension ref="C4:J21"/>
  <sheetViews>
    <sheetView workbookViewId="0">
      <selection activeCell="K24" sqref="K24"/>
    </sheetView>
  </sheetViews>
  <sheetFormatPr baseColWidth="10" defaultColWidth="10.7109375" defaultRowHeight="15" x14ac:dyDescent="0.25"/>
  <cols>
    <col min="4" max="4" width="13.85546875" customWidth="1"/>
    <col min="5" max="5" width="18.28515625" customWidth="1"/>
    <col min="8" max="8" width="17" customWidth="1"/>
    <col min="9" max="9" width="3.7109375" customWidth="1"/>
  </cols>
  <sheetData>
    <row r="4" spans="3:10" x14ac:dyDescent="0.25">
      <c r="C4" s="103" t="s">
        <v>12</v>
      </c>
      <c r="D4" s="86" t="s">
        <v>0</v>
      </c>
      <c r="E4" s="86" t="s">
        <v>1</v>
      </c>
      <c r="F4" s="86" t="s">
        <v>15</v>
      </c>
      <c r="G4" s="86" t="s">
        <v>131</v>
      </c>
      <c r="H4" s="104" t="s">
        <v>315</v>
      </c>
      <c r="I4" s="421" t="s">
        <v>129</v>
      </c>
      <c r="J4" s="421" t="s">
        <v>588</v>
      </c>
    </row>
    <row r="5" spans="3:10" x14ac:dyDescent="0.25">
      <c r="C5" s="102"/>
      <c r="D5" s="89"/>
      <c r="E5" s="89"/>
      <c r="F5" s="89"/>
      <c r="G5" s="89"/>
      <c r="H5" s="105"/>
      <c r="I5" s="420"/>
      <c r="J5" s="420"/>
    </row>
    <row r="6" spans="3:10" x14ac:dyDescent="0.25">
      <c r="C6" s="102"/>
      <c r="D6" s="89"/>
      <c r="E6" s="89"/>
      <c r="F6" s="89"/>
      <c r="G6" s="89"/>
      <c r="H6" s="105"/>
      <c r="I6" s="396"/>
      <c r="J6" s="396"/>
    </row>
    <row r="7" spans="3:10" x14ac:dyDescent="0.25">
      <c r="C7" s="102"/>
      <c r="D7" s="89"/>
      <c r="E7" s="89"/>
      <c r="F7" s="89"/>
      <c r="G7" s="89"/>
      <c r="H7" s="105"/>
      <c r="I7" s="396"/>
      <c r="J7" s="396"/>
    </row>
    <row r="8" spans="3:10" x14ac:dyDescent="0.25">
      <c r="C8" s="102"/>
      <c r="D8" s="89"/>
      <c r="E8" s="89"/>
      <c r="F8" s="89"/>
      <c r="G8" s="89"/>
      <c r="H8" s="105"/>
      <c r="I8" s="396"/>
      <c r="J8" s="396"/>
    </row>
    <row r="9" spans="3:10" x14ac:dyDescent="0.25">
      <c r="C9" s="102">
        <v>45148</v>
      </c>
      <c r="D9" s="101" t="s">
        <v>141</v>
      </c>
      <c r="E9" s="91" t="s">
        <v>322</v>
      </c>
      <c r="F9" s="89" t="s">
        <v>321</v>
      </c>
      <c r="G9" s="89">
        <v>174</v>
      </c>
      <c r="H9" s="105" t="s">
        <v>328</v>
      </c>
      <c r="I9" s="396"/>
      <c r="J9" s="396"/>
    </row>
    <row r="10" spans="3:10" x14ac:dyDescent="0.25">
      <c r="C10" s="102">
        <v>45148</v>
      </c>
      <c r="D10" s="101" t="s">
        <v>211</v>
      </c>
      <c r="E10" s="91" t="s">
        <v>323</v>
      </c>
      <c r="F10" s="89" t="s">
        <v>321</v>
      </c>
      <c r="G10" s="89">
        <v>118</v>
      </c>
      <c r="H10" s="105" t="s">
        <v>328</v>
      </c>
      <c r="I10" s="396"/>
      <c r="J10" s="396" t="s">
        <v>330</v>
      </c>
    </row>
    <row r="11" spans="3:10" x14ac:dyDescent="0.25">
      <c r="C11" s="102">
        <v>45148</v>
      </c>
      <c r="D11" s="101" t="s">
        <v>125</v>
      </c>
      <c r="E11" s="91" t="s">
        <v>324</v>
      </c>
      <c r="F11" s="89" t="s">
        <v>321</v>
      </c>
      <c r="G11" s="89">
        <v>193</v>
      </c>
      <c r="H11" s="105" t="s">
        <v>328</v>
      </c>
      <c r="I11" s="396"/>
      <c r="J11" s="396" t="s">
        <v>329</v>
      </c>
    </row>
    <row r="12" spans="3:10" x14ac:dyDescent="0.25">
      <c r="C12" s="102">
        <v>45148</v>
      </c>
      <c r="D12" s="101" t="s">
        <v>139</v>
      </c>
      <c r="E12" s="91" t="s">
        <v>103</v>
      </c>
      <c r="F12" s="89" t="s">
        <v>321</v>
      </c>
      <c r="G12" s="89">
        <v>364</v>
      </c>
      <c r="H12" s="105" t="s">
        <v>327</v>
      </c>
      <c r="I12" s="396"/>
      <c r="J12" s="396"/>
    </row>
    <row r="13" spans="3:10" x14ac:dyDescent="0.25">
      <c r="C13" s="102">
        <v>45148</v>
      </c>
      <c r="D13" s="101" t="s">
        <v>186</v>
      </c>
      <c r="E13" s="91" t="s">
        <v>199</v>
      </c>
      <c r="F13" s="89" t="s">
        <v>321</v>
      </c>
      <c r="G13" s="89">
        <v>480</v>
      </c>
      <c r="H13" s="105" t="s">
        <v>326</v>
      </c>
      <c r="I13" s="396"/>
      <c r="J13" s="396"/>
    </row>
    <row r="14" spans="3:10" x14ac:dyDescent="0.25">
      <c r="C14" s="102">
        <v>45201</v>
      </c>
      <c r="D14" s="101" t="s">
        <v>424</v>
      </c>
      <c r="E14" s="91" t="s">
        <v>6</v>
      </c>
      <c r="F14" s="89" t="s">
        <v>428</v>
      </c>
      <c r="G14" s="89"/>
      <c r="H14" s="105"/>
      <c r="I14" s="396"/>
      <c r="J14" s="396"/>
    </row>
    <row r="15" spans="3:10" x14ac:dyDescent="0.25">
      <c r="C15" s="120">
        <v>45203</v>
      </c>
      <c r="D15" s="101" t="s">
        <v>188</v>
      </c>
      <c r="E15" s="91" t="s">
        <v>201</v>
      </c>
      <c r="F15" s="89" t="s">
        <v>321</v>
      </c>
      <c r="G15" s="121">
        <v>415</v>
      </c>
      <c r="H15" s="105" t="s">
        <v>328</v>
      </c>
      <c r="I15" s="396"/>
      <c r="J15" s="396"/>
    </row>
    <row r="16" spans="3:10" x14ac:dyDescent="0.25">
      <c r="C16" s="120">
        <v>45050</v>
      </c>
      <c r="D16" s="395">
        <v>23031</v>
      </c>
      <c r="E16" s="398" t="s">
        <v>581</v>
      </c>
      <c r="F16" s="89" t="s">
        <v>428</v>
      </c>
      <c r="G16" s="121"/>
      <c r="H16" s="105"/>
      <c r="I16" s="396"/>
      <c r="J16" s="396" t="s">
        <v>426</v>
      </c>
    </row>
    <row r="17" spans="3:10" x14ac:dyDescent="0.25">
      <c r="C17" s="394">
        <v>45437</v>
      </c>
      <c r="D17" s="395">
        <v>70</v>
      </c>
      <c r="E17" s="398" t="s">
        <v>584</v>
      </c>
      <c r="F17" s="89" t="s">
        <v>321</v>
      </c>
      <c r="G17" s="396">
        <v>517</v>
      </c>
      <c r="H17" s="396">
        <v>1.4</v>
      </c>
      <c r="I17" s="396"/>
      <c r="J17" s="396" t="s">
        <v>587</v>
      </c>
    </row>
    <row r="18" spans="3:10" x14ac:dyDescent="0.25">
      <c r="C18" s="394">
        <v>45437</v>
      </c>
      <c r="D18" s="395">
        <v>15801</v>
      </c>
      <c r="E18" s="398" t="s">
        <v>585</v>
      </c>
      <c r="F18" s="89" t="s">
        <v>321</v>
      </c>
      <c r="G18" s="396">
        <v>342</v>
      </c>
      <c r="H18" s="396">
        <v>1.2</v>
      </c>
      <c r="I18" s="396"/>
      <c r="J18" s="396" t="s">
        <v>587</v>
      </c>
    </row>
    <row r="19" spans="3:10" x14ac:dyDescent="0.25">
      <c r="C19" s="394">
        <v>45437</v>
      </c>
      <c r="D19" s="395">
        <v>183864</v>
      </c>
      <c r="E19" s="398" t="s">
        <v>586</v>
      </c>
      <c r="F19" s="89" t="s">
        <v>321</v>
      </c>
      <c r="G19" s="396">
        <v>469</v>
      </c>
      <c r="H19" s="396">
        <v>1.4</v>
      </c>
      <c r="I19" s="396"/>
      <c r="J19" s="396" t="s">
        <v>587</v>
      </c>
    </row>
    <row r="20" spans="3:10" x14ac:dyDescent="0.25">
      <c r="C20" s="394"/>
      <c r="D20" s="399"/>
      <c r="E20" s="400"/>
      <c r="F20" s="396"/>
      <c r="G20" s="396"/>
      <c r="H20" s="397"/>
      <c r="I20" s="399"/>
      <c r="J20" s="399"/>
    </row>
    <row r="21" spans="3:10" x14ac:dyDescent="0.25">
      <c r="C21" s="108" t="s">
        <v>75</v>
      </c>
      <c r="D21" s="106"/>
      <c r="E21" s="107"/>
      <c r="F21" s="106"/>
      <c r="G21" s="106"/>
      <c r="H21" s="85">
        <f>SUBTOTAL(103,Salidas[Observaciones])</f>
        <v>9</v>
      </c>
      <c r="I21" s="106"/>
      <c r="J21" s="106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4:S97"/>
  <sheetViews>
    <sheetView topLeftCell="A76" workbookViewId="0">
      <selection activeCell="H97" sqref="H97"/>
    </sheetView>
  </sheetViews>
  <sheetFormatPr baseColWidth="10" defaultColWidth="10.7109375" defaultRowHeight="15" x14ac:dyDescent="0.25"/>
  <cols>
    <col min="1" max="1" width="13.7109375" style="55" customWidth="1"/>
    <col min="2" max="2" width="10.28515625" style="1" customWidth="1"/>
    <col min="3" max="3" width="17.140625" customWidth="1"/>
    <col min="4" max="4" width="12" customWidth="1"/>
    <col min="5" max="6" width="11.28515625" customWidth="1"/>
    <col min="7" max="7" width="27.28515625" style="1" customWidth="1"/>
    <col min="8" max="8" width="12.140625" style="1" customWidth="1"/>
    <col min="9" max="9" width="17.5703125" style="93" customWidth="1"/>
    <col min="10" max="10" width="18.85546875" style="5" customWidth="1"/>
    <col min="11" max="11" width="16.85546875" style="5" customWidth="1"/>
    <col min="12" max="12" width="17.140625" customWidth="1"/>
    <col min="13" max="13" width="30.140625" style="1" customWidth="1"/>
  </cols>
  <sheetData>
    <row r="4" spans="1:19" ht="15.75" thickBot="1" x14ac:dyDescent="0.3"/>
    <row r="5" spans="1:19" x14ac:dyDescent="0.25">
      <c r="A5" s="61" t="s">
        <v>12</v>
      </c>
      <c r="B5" s="3" t="s">
        <v>0</v>
      </c>
      <c r="C5" s="3" t="s">
        <v>1</v>
      </c>
      <c r="D5" s="54" t="s">
        <v>129</v>
      </c>
      <c r="E5" s="3" t="s">
        <v>15</v>
      </c>
      <c r="F5" s="59" t="s">
        <v>47</v>
      </c>
      <c r="G5" s="42" t="s">
        <v>16</v>
      </c>
      <c r="H5" s="46" t="s">
        <v>131</v>
      </c>
      <c r="I5" s="94" t="s">
        <v>11</v>
      </c>
      <c r="J5" s="10" t="s">
        <v>40</v>
      </c>
      <c r="K5" s="10" t="s">
        <v>41</v>
      </c>
      <c r="L5" s="9" t="s">
        <v>21</v>
      </c>
      <c r="M5" s="43" t="s">
        <v>243</v>
      </c>
    </row>
    <row r="6" spans="1:19" x14ac:dyDescent="0.25">
      <c r="A6" s="109">
        <v>42641</v>
      </c>
      <c r="B6" s="59">
        <v>95</v>
      </c>
      <c r="C6" s="2" t="s">
        <v>3</v>
      </c>
      <c r="D6" s="2"/>
      <c r="E6" s="2" t="s">
        <v>22</v>
      </c>
      <c r="F6" s="63">
        <f t="shared" ref="F6:F37" ca="1" si="0">(TODAY()-A6)/30</f>
        <v>114.86666666666666</v>
      </c>
      <c r="G6" s="59" t="s">
        <v>24</v>
      </c>
      <c r="H6" s="59"/>
      <c r="I6" s="95"/>
      <c r="J6" s="6"/>
      <c r="K6" s="8"/>
      <c r="L6" s="4"/>
      <c r="M6" s="44"/>
      <c r="N6" s="7"/>
    </row>
    <row r="7" spans="1:19" x14ac:dyDescent="0.25">
      <c r="A7" s="109">
        <v>43111</v>
      </c>
      <c r="B7" s="59">
        <v>95</v>
      </c>
      <c r="C7" s="2" t="s">
        <v>3</v>
      </c>
      <c r="D7" s="2"/>
      <c r="E7" s="2" t="s">
        <v>22</v>
      </c>
      <c r="F7" s="63">
        <f t="shared" ca="1" si="0"/>
        <v>99.2</v>
      </c>
      <c r="G7" s="59" t="s">
        <v>23</v>
      </c>
      <c r="H7" s="59"/>
      <c r="I7" s="96">
        <f>(280-0)+A15</f>
        <v>43581</v>
      </c>
      <c r="J7" s="8"/>
      <c r="K7" s="8">
        <f>A15-A6</f>
        <v>660</v>
      </c>
      <c r="L7" s="96">
        <f>A15-280</f>
        <v>43021</v>
      </c>
      <c r="M7" s="59">
        <f>A15-A6</f>
        <v>660</v>
      </c>
      <c r="N7" s="7"/>
    </row>
    <row r="8" spans="1:19" x14ac:dyDescent="0.25">
      <c r="A8" s="109">
        <v>43262</v>
      </c>
      <c r="B8" s="59">
        <v>97</v>
      </c>
      <c r="C8" s="2" t="s">
        <v>4</v>
      </c>
      <c r="D8" s="2"/>
      <c r="E8" s="2" t="s">
        <v>22</v>
      </c>
      <c r="F8" s="63">
        <f t="shared" ca="1" si="0"/>
        <v>94.166666666666671</v>
      </c>
      <c r="G8" s="59" t="s">
        <v>24</v>
      </c>
      <c r="H8" s="59"/>
      <c r="I8" s="95"/>
      <c r="J8" s="6"/>
      <c r="K8" s="8"/>
      <c r="L8" s="4"/>
      <c r="M8" s="44" t="s">
        <v>55</v>
      </c>
      <c r="N8" s="7"/>
    </row>
    <row r="9" spans="1:19" x14ac:dyDescent="0.25">
      <c r="A9" s="109">
        <v>43273</v>
      </c>
      <c r="B9" s="59">
        <v>95</v>
      </c>
      <c r="C9" s="2" t="s">
        <v>3</v>
      </c>
      <c r="D9" s="2"/>
      <c r="E9" s="2" t="s">
        <v>17</v>
      </c>
      <c r="F9" s="63">
        <f t="shared" ca="1" si="0"/>
        <v>93.8</v>
      </c>
      <c r="G9" s="59" t="s">
        <v>7</v>
      </c>
      <c r="H9" s="59"/>
      <c r="I9" s="95">
        <f>(280-220)+A9</f>
        <v>43333</v>
      </c>
      <c r="J9" s="6"/>
      <c r="K9" s="8"/>
      <c r="L9" s="4" t="s">
        <v>14</v>
      </c>
      <c r="M9" s="44"/>
      <c r="N9" s="7"/>
      <c r="S9">
        <v>1.5</v>
      </c>
    </row>
    <row r="10" spans="1:19" x14ac:dyDescent="0.25">
      <c r="A10" s="109">
        <v>43273</v>
      </c>
      <c r="B10" s="3">
        <v>96</v>
      </c>
      <c r="C10" s="2" t="s">
        <v>118</v>
      </c>
      <c r="D10" s="2"/>
      <c r="E10" s="2" t="s">
        <v>17</v>
      </c>
      <c r="F10" s="63">
        <f t="shared" ca="1" si="0"/>
        <v>93.8</v>
      </c>
      <c r="G10" s="41" t="s">
        <v>8</v>
      </c>
      <c r="H10" s="45"/>
      <c r="I10" s="96">
        <f>(280-170)+A10</f>
        <v>43383</v>
      </c>
      <c r="J10" s="8"/>
      <c r="K10" s="8"/>
      <c r="L10" s="4" t="s">
        <v>14</v>
      </c>
      <c r="M10" s="59">
        <f ca="1">TODAY()-I10</f>
        <v>2704</v>
      </c>
      <c r="N10" s="7">
        <v>50</v>
      </c>
      <c r="O10">
        <v>0.5</v>
      </c>
    </row>
    <row r="11" spans="1:19" x14ac:dyDescent="0.25">
      <c r="A11" s="109">
        <v>43273</v>
      </c>
      <c r="B11" s="3">
        <v>97</v>
      </c>
      <c r="C11" s="2" t="s">
        <v>4</v>
      </c>
      <c r="D11" s="2"/>
      <c r="E11" s="2" t="s">
        <v>17</v>
      </c>
      <c r="F11" s="63">
        <f t="shared" ca="1" si="0"/>
        <v>93.8</v>
      </c>
      <c r="G11" s="41" t="s">
        <v>9</v>
      </c>
      <c r="H11" s="45"/>
      <c r="I11" s="95">
        <f>(280-150)+A11</f>
        <v>43403</v>
      </c>
      <c r="J11" s="6"/>
      <c r="K11" s="8"/>
      <c r="L11" s="4" t="s">
        <v>14</v>
      </c>
      <c r="M11" s="44">
        <f ca="1">TODAY()-I11</f>
        <v>2684</v>
      </c>
      <c r="N11" s="7"/>
    </row>
    <row r="12" spans="1:19" x14ac:dyDescent="0.25">
      <c r="A12" s="109">
        <v>43273</v>
      </c>
      <c r="B12" s="59"/>
      <c r="C12" s="2" t="s">
        <v>5</v>
      </c>
      <c r="D12" s="2"/>
      <c r="E12" s="2" t="s">
        <v>17</v>
      </c>
      <c r="F12" s="63">
        <f t="shared" ca="1" si="0"/>
        <v>93.8</v>
      </c>
      <c r="G12" s="59" t="s">
        <v>20</v>
      </c>
      <c r="H12" s="59"/>
      <c r="I12" s="96"/>
      <c r="J12" s="8"/>
      <c r="K12" s="8"/>
      <c r="L12" s="4" t="s">
        <v>14</v>
      </c>
      <c r="M12" s="59" t="s">
        <v>13</v>
      </c>
      <c r="N12" s="7"/>
    </row>
    <row r="13" spans="1:19" x14ac:dyDescent="0.25">
      <c r="A13" s="109">
        <v>43273</v>
      </c>
      <c r="B13" s="59">
        <v>99</v>
      </c>
      <c r="C13" s="2" t="s">
        <v>6</v>
      </c>
      <c r="D13" s="2"/>
      <c r="E13" s="2" t="s">
        <v>17</v>
      </c>
      <c r="F13" s="63">
        <f t="shared" ca="1" si="0"/>
        <v>93.8</v>
      </c>
      <c r="G13" s="59" t="s">
        <v>10</v>
      </c>
      <c r="H13" s="59"/>
      <c r="I13" s="95"/>
      <c r="J13" s="6"/>
      <c r="K13" s="8"/>
      <c r="L13" s="4" t="s">
        <v>14</v>
      </c>
      <c r="M13" s="44" t="s">
        <v>58</v>
      </c>
      <c r="N13" s="7"/>
    </row>
    <row r="14" spans="1:19" x14ac:dyDescent="0.25">
      <c r="A14" s="109">
        <v>43293</v>
      </c>
      <c r="B14" s="59"/>
      <c r="C14" s="2" t="s">
        <v>5</v>
      </c>
      <c r="D14" s="2"/>
      <c r="E14" s="2" t="s">
        <v>18</v>
      </c>
      <c r="F14" s="63">
        <f t="shared" ca="1" si="0"/>
        <v>93.13333333333334</v>
      </c>
      <c r="G14" s="59" t="s">
        <v>19</v>
      </c>
      <c r="H14" s="59"/>
      <c r="I14" s="96">
        <f>A14+280</f>
        <v>43573</v>
      </c>
      <c r="J14" s="8"/>
      <c r="K14" s="8"/>
      <c r="L14" s="4"/>
      <c r="M14" s="59"/>
      <c r="N14" s="7"/>
    </row>
    <row r="15" spans="1:19" x14ac:dyDescent="0.25">
      <c r="A15" s="109">
        <v>43301</v>
      </c>
      <c r="B15" s="59">
        <v>99</v>
      </c>
      <c r="C15" s="2" t="s">
        <v>6</v>
      </c>
      <c r="D15" s="2"/>
      <c r="E15" s="2" t="s">
        <v>18</v>
      </c>
      <c r="F15" s="63">
        <f t="shared" ca="1" si="0"/>
        <v>92.86666666666666</v>
      </c>
      <c r="G15" s="59" t="s">
        <v>19</v>
      </c>
      <c r="H15" s="59"/>
      <c r="I15" s="95">
        <f>(280-0)+A15</f>
        <v>43581</v>
      </c>
      <c r="J15" s="6"/>
      <c r="K15" s="8"/>
      <c r="L15" s="4"/>
      <c r="M15" s="44"/>
      <c r="N15" s="7"/>
    </row>
    <row r="16" spans="1:19" x14ac:dyDescent="0.25">
      <c r="A16" s="109">
        <v>43312</v>
      </c>
      <c r="B16" s="59">
        <v>96</v>
      </c>
      <c r="C16" s="2" t="s">
        <v>118</v>
      </c>
      <c r="D16" s="2"/>
      <c r="E16" s="2" t="s">
        <v>22</v>
      </c>
      <c r="F16" s="63">
        <f t="shared" ca="1" si="0"/>
        <v>92.5</v>
      </c>
      <c r="G16" s="59" t="s">
        <v>23</v>
      </c>
      <c r="H16" s="59"/>
      <c r="I16" s="96"/>
      <c r="J16" s="8"/>
      <c r="K16" s="8"/>
      <c r="L16" s="4"/>
      <c r="M16" s="59"/>
      <c r="N16" s="7"/>
    </row>
    <row r="17" spans="1:14" x14ac:dyDescent="0.25">
      <c r="A17" s="109">
        <v>43431</v>
      </c>
      <c r="B17" s="59">
        <v>95</v>
      </c>
      <c r="C17" s="2" t="s">
        <v>3</v>
      </c>
      <c r="D17" s="2"/>
      <c r="E17" s="2" t="s">
        <v>18</v>
      </c>
      <c r="F17" s="63">
        <f t="shared" ca="1" si="0"/>
        <v>88.533333333333331</v>
      </c>
      <c r="G17" s="59" t="s">
        <v>29</v>
      </c>
      <c r="H17" s="59"/>
      <c r="I17" s="95">
        <f>A17+280</f>
        <v>43711</v>
      </c>
      <c r="J17" s="6"/>
      <c r="K17" s="8"/>
      <c r="L17" s="4"/>
      <c r="M17" s="44"/>
      <c r="N17" s="7"/>
    </row>
    <row r="18" spans="1:14" x14ac:dyDescent="0.25">
      <c r="A18" s="109">
        <v>43493</v>
      </c>
      <c r="B18" s="59">
        <v>96</v>
      </c>
      <c r="C18" s="2" t="s">
        <v>118</v>
      </c>
      <c r="D18" s="2"/>
      <c r="E18" s="2" t="s">
        <v>18</v>
      </c>
      <c r="F18" s="63">
        <f t="shared" ca="1" si="0"/>
        <v>86.466666666666669</v>
      </c>
      <c r="G18" s="59" t="s">
        <v>29</v>
      </c>
      <c r="H18" s="59"/>
      <c r="I18" s="96">
        <f>A18+280</f>
        <v>43773</v>
      </c>
      <c r="J18" s="8"/>
      <c r="K18" s="8"/>
      <c r="L18" s="4"/>
      <c r="M18" s="59"/>
      <c r="N18" s="7"/>
    </row>
    <row r="19" spans="1:14" x14ac:dyDescent="0.25">
      <c r="A19" s="109">
        <v>43513</v>
      </c>
      <c r="B19" s="59">
        <v>97</v>
      </c>
      <c r="C19" s="2" t="s">
        <v>4</v>
      </c>
      <c r="D19" s="2"/>
      <c r="E19" s="2" t="s">
        <v>18</v>
      </c>
      <c r="F19" s="63">
        <f t="shared" ca="1" si="0"/>
        <v>85.8</v>
      </c>
      <c r="G19" s="59" t="s">
        <v>29</v>
      </c>
      <c r="H19" s="59"/>
      <c r="I19" s="95">
        <f>A19+280</f>
        <v>43793</v>
      </c>
      <c r="J19" s="6"/>
      <c r="K19" s="8"/>
      <c r="L19" s="4"/>
      <c r="M19" s="44"/>
      <c r="N19" s="7"/>
    </row>
    <row r="20" spans="1:14" x14ac:dyDescent="0.25">
      <c r="A20" s="109">
        <v>43573</v>
      </c>
      <c r="B20" s="59"/>
      <c r="C20" s="2" t="s">
        <v>5</v>
      </c>
      <c r="D20" s="2"/>
      <c r="E20" s="2" t="s">
        <v>30</v>
      </c>
      <c r="F20" s="63">
        <f t="shared" ca="1" si="0"/>
        <v>83.8</v>
      </c>
      <c r="G20" s="59" t="s">
        <v>24</v>
      </c>
      <c r="H20" s="59"/>
      <c r="I20" s="96"/>
      <c r="J20" s="8">
        <f>A20-A13</f>
        <v>300</v>
      </c>
      <c r="K20" s="8"/>
      <c r="L20" s="4"/>
      <c r="M20" s="59" t="s">
        <v>55</v>
      </c>
      <c r="N20" s="7"/>
    </row>
    <row r="21" spans="1:14" x14ac:dyDescent="0.25">
      <c r="A21" s="109">
        <v>43576</v>
      </c>
      <c r="B21" s="59">
        <v>99</v>
      </c>
      <c r="C21" s="2" t="s">
        <v>6</v>
      </c>
      <c r="D21" s="2"/>
      <c r="E21" s="2" t="s">
        <v>22</v>
      </c>
      <c r="F21" s="63">
        <f t="shared" ca="1" si="0"/>
        <v>83.7</v>
      </c>
      <c r="G21" s="59" t="s">
        <v>24</v>
      </c>
      <c r="H21" s="59"/>
      <c r="I21" s="95"/>
      <c r="J21" s="6">
        <f>A21-A14</f>
        <v>283</v>
      </c>
      <c r="K21" s="8"/>
      <c r="L21" s="4"/>
      <c r="M21" s="44">
        <f ca="1">TODAY()-A21</f>
        <v>2511</v>
      </c>
      <c r="N21" s="7"/>
    </row>
    <row r="22" spans="1:14" x14ac:dyDescent="0.25">
      <c r="A22" s="109">
        <v>43646</v>
      </c>
      <c r="B22" s="59">
        <v>99</v>
      </c>
      <c r="C22" s="2" t="s">
        <v>6</v>
      </c>
      <c r="D22" s="2"/>
      <c r="E22" s="2" t="s">
        <v>18</v>
      </c>
      <c r="F22" s="63">
        <f t="shared" ca="1" si="0"/>
        <v>81.36666666666666</v>
      </c>
      <c r="G22" s="59" t="s">
        <v>19</v>
      </c>
      <c r="H22" s="59"/>
      <c r="I22" s="96">
        <f>(280-0)+A22</f>
        <v>43926</v>
      </c>
      <c r="J22" s="8"/>
      <c r="K22" s="8"/>
      <c r="L22" s="4"/>
      <c r="M22" s="59">
        <f>A21-A22</f>
        <v>-70</v>
      </c>
      <c r="N22" s="7"/>
    </row>
    <row r="23" spans="1:14" x14ac:dyDescent="0.25">
      <c r="A23" s="109">
        <v>43736</v>
      </c>
      <c r="B23" s="59" t="s">
        <v>37</v>
      </c>
      <c r="C23" s="2" t="s">
        <v>33</v>
      </c>
      <c r="D23" s="2"/>
      <c r="E23" s="2" t="s">
        <v>32</v>
      </c>
      <c r="F23" s="63">
        <f t="shared" ca="1" si="0"/>
        <v>78.36666666666666</v>
      </c>
      <c r="G23" s="59" t="s">
        <v>24</v>
      </c>
      <c r="H23" s="59"/>
      <c r="I23" s="95"/>
      <c r="J23" s="6"/>
      <c r="K23" s="8"/>
      <c r="L23" s="4"/>
      <c r="M23" s="44"/>
      <c r="N23" s="7"/>
    </row>
    <row r="24" spans="1:14" x14ac:dyDescent="0.25">
      <c r="A24" s="109">
        <v>43769</v>
      </c>
      <c r="B24" s="59">
        <v>96</v>
      </c>
      <c r="C24" s="2" t="s">
        <v>118</v>
      </c>
      <c r="D24" s="2"/>
      <c r="E24" s="2" t="s">
        <v>30</v>
      </c>
      <c r="F24" s="63">
        <f t="shared" ca="1" si="0"/>
        <v>77.266666666666666</v>
      </c>
      <c r="G24" s="59" t="s">
        <v>24</v>
      </c>
      <c r="H24" s="59"/>
      <c r="I24" s="95"/>
      <c r="J24" s="6">
        <f>A24-A18</f>
        <v>276</v>
      </c>
      <c r="K24" s="8">
        <f>A24-A15</f>
        <v>468</v>
      </c>
      <c r="L24" s="4"/>
      <c r="M24" s="44">
        <f ca="1">TODAY()-A24</f>
        <v>2318</v>
      </c>
      <c r="N24" s="7"/>
    </row>
    <row r="25" spans="1:14" x14ac:dyDescent="0.25">
      <c r="A25" s="109">
        <v>43780</v>
      </c>
      <c r="B25" s="59">
        <v>97</v>
      </c>
      <c r="C25" s="2" t="s">
        <v>4</v>
      </c>
      <c r="D25" s="2"/>
      <c r="E25" s="2" t="s">
        <v>22</v>
      </c>
      <c r="F25" s="63">
        <f t="shared" ca="1" si="0"/>
        <v>76.900000000000006</v>
      </c>
      <c r="G25" s="59" t="s">
        <v>24</v>
      </c>
      <c r="H25" s="59"/>
      <c r="I25" s="96"/>
      <c r="J25" s="8">
        <f>A25-A19</f>
        <v>267</v>
      </c>
      <c r="K25" s="8">
        <f>A25-A16</f>
        <v>468</v>
      </c>
      <c r="L25" s="4"/>
      <c r="M25" s="59">
        <f ca="1">TODAY()-A25</f>
        <v>2307</v>
      </c>
      <c r="N25" s="7"/>
    </row>
    <row r="26" spans="1:14" x14ac:dyDescent="0.25">
      <c r="A26" s="109">
        <v>43788</v>
      </c>
      <c r="B26" s="59"/>
      <c r="C26" s="2" t="s">
        <v>5</v>
      </c>
      <c r="D26" s="2"/>
      <c r="E26" s="2" t="s">
        <v>43</v>
      </c>
      <c r="F26" s="63">
        <f t="shared" ca="1" si="0"/>
        <v>76.63333333333334</v>
      </c>
      <c r="G26" s="59" t="s">
        <v>44</v>
      </c>
      <c r="H26" s="59"/>
      <c r="I26" s="96"/>
      <c r="J26" s="8"/>
      <c r="K26" s="8"/>
      <c r="L26" s="4"/>
      <c r="M26" s="59"/>
      <c r="N26" s="7"/>
    </row>
    <row r="27" spans="1:14" x14ac:dyDescent="0.25">
      <c r="A27" s="109">
        <v>43795</v>
      </c>
      <c r="B27" s="59">
        <v>95</v>
      </c>
      <c r="C27" s="2" t="s">
        <v>3</v>
      </c>
      <c r="D27" s="2"/>
      <c r="E27" s="2" t="s">
        <v>30</v>
      </c>
      <c r="F27" s="63">
        <f t="shared" ca="1" si="0"/>
        <v>76.400000000000006</v>
      </c>
      <c r="G27" s="59" t="s">
        <v>24</v>
      </c>
      <c r="H27" s="59"/>
      <c r="I27" s="95"/>
      <c r="J27" s="6"/>
      <c r="K27" s="8"/>
      <c r="L27" s="4"/>
      <c r="M27" s="44" t="s">
        <v>55</v>
      </c>
      <c r="N27" s="7"/>
    </row>
    <row r="28" spans="1:14" x14ac:dyDescent="0.25">
      <c r="A28" s="109">
        <v>43843</v>
      </c>
      <c r="B28" s="59">
        <v>95</v>
      </c>
      <c r="C28" s="2" t="s">
        <v>3</v>
      </c>
      <c r="D28" s="2"/>
      <c r="E28" s="2" t="s">
        <v>18</v>
      </c>
      <c r="F28" s="63">
        <f t="shared" ca="1" si="0"/>
        <v>74.8</v>
      </c>
      <c r="G28" s="59" t="s">
        <v>42</v>
      </c>
      <c r="H28" s="59"/>
      <c r="I28" s="96">
        <f>A28+280</f>
        <v>44123</v>
      </c>
      <c r="J28" s="8"/>
      <c r="K28" s="8"/>
      <c r="L28" s="4"/>
      <c r="M28" s="59"/>
      <c r="N28" s="7"/>
    </row>
    <row r="29" spans="1:14" x14ac:dyDescent="0.25">
      <c r="A29" s="109">
        <v>43878</v>
      </c>
      <c r="B29" s="59">
        <v>95</v>
      </c>
      <c r="C29" s="2" t="s">
        <v>3</v>
      </c>
      <c r="D29" s="2"/>
      <c r="E29" s="2" t="s">
        <v>18</v>
      </c>
      <c r="F29" s="63">
        <f t="shared" ca="1" si="0"/>
        <v>73.63333333333334</v>
      </c>
      <c r="G29" s="59" t="s">
        <v>42</v>
      </c>
      <c r="H29" s="59"/>
      <c r="I29" s="95">
        <f>A29+280</f>
        <v>44158</v>
      </c>
      <c r="J29" s="6"/>
      <c r="K29" s="8"/>
      <c r="L29" s="4"/>
      <c r="M29" s="44">
        <f>A29-A28</f>
        <v>35</v>
      </c>
      <c r="N29" s="7"/>
    </row>
    <row r="30" spans="1:14" x14ac:dyDescent="0.25">
      <c r="A30" s="109">
        <v>43926</v>
      </c>
      <c r="B30" s="59">
        <v>99</v>
      </c>
      <c r="C30" s="2" t="s">
        <v>6</v>
      </c>
      <c r="D30" s="2"/>
      <c r="E30" s="2" t="s">
        <v>22</v>
      </c>
      <c r="F30" s="63">
        <f t="shared" ca="1" si="0"/>
        <v>72.033333333333331</v>
      </c>
      <c r="G30" s="59" t="s">
        <v>23</v>
      </c>
      <c r="H30" s="59"/>
      <c r="I30" s="95"/>
      <c r="J30" s="6">
        <f>A30-A22</f>
        <v>280</v>
      </c>
      <c r="K30" s="8">
        <f>A30-A21</f>
        <v>350</v>
      </c>
      <c r="L30" s="4"/>
      <c r="M30" s="44"/>
      <c r="N30" s="7"/>
    </row>
    <row r="31" spans="1:14" x14ac:dyDescent="0.25">
      <c r="A31" s="109">
        <v>44159</v>
      </c>
      <c r="B31" s="59">
        <v>95</v>
      </c>
      <c r="C31" s="2" t="s">
        <v>3</v>
      </c>
      <c r="D31" s="2"/>
      <c r="E31" s="2" t="s">
        <v>30</v>
      </c>
      <c r="F31" s="63">
        <f t="shared" ca="1" si="0"/>
        <v>64.266666666666666</v>
      </c>
      <c r="G31" s="59" t="s">
        <v>23</v>
      </c>
      <c r="H31" s="59"/>
      <c r="I31" s="96"/>
      <c r="J31" s="8">
        <f>A31-A28</f>
        <v>316</v>
      </c>
      <c r="K31" s="8">
        <f>A31-A15</f>
        <v>858</v>
      </c>
      <c r="L31" s="4"/>
      <c r="M31" s="59"/>
      <c r="N31" s="7"/>
    </row>
    <row r="32" spans="1:14" x14ac:dyDescent="0.25">
      <c r="A32" s="109">
        <v>44254</v>
      </c>
      <c r="B32" s="59">
        <v>95</v>
      </c>
      <c r="C32" s="2" t="s">
        <v>3</v>
      </c>
      <c r="D32" s="2"/>
      <c r="E32" s="2" t="s">
        <v>17</v>
      </c>
      <c r="F32" s="63">
        <f t="shared" ca="1" si="0"/>
        <v>61.1</v>
      </c>
      <c r="G32" s="59" t="s">
        <v>104</v>
      </c>
      <c r="H32" s="59"/>
      <c r="I32" s="95"/>
      <c r="J32" s="6"/>
      <c r="K32" s="8"/>
      <c r="L32" s="4" t="s">
        <v>105</v>
      </c>
      <c r="M32" s="44">
        <f>A32-A31</f>
        <v>95</v>
      </c>
      <c r="N32" s="7"/>
    </row>
    <row r="33" spans="1:14" x14ac:dyDescent="0.25">
      <c r="A33" s="109">
        <v>44254</v>
      </c>
      <c r="B33" s="59">
        <v>18001</v>
      </c>
      <c r="C33" s="2" t="s">
        <v>103</v>
      </c>
      <c r="D33" s="2"/>
      <c r="E33" s="2" t="s">
        <v>17</v>
      </c>
      <c r="F33" s="63">
        <f t="shared" ca="1" si="0"/>
        <v>61.1</v>
      </c>
      <c r="G33" s="59">
        <v>2</v>
      </c>
      <c r="H33" s="59"/>
      <c r="I33" s="95">
        <f>(280-60)+A33</f>
        <v>44474</v>
      </c>
      <c r="J33" s="8">
        <f ca="1">I33-TODAY()</f>
        <v>-1613</v>
      </c>
      <c r="K33" s="8"/>
      <c r="L33" s="4" t="s">
        <v>105</v>
      </c>
      <c r="M33" s="44"/>
      <c r="N33" s="7"/>
    </row>
    <row r="34" spans="1:14" x14ac:dyDescent="0.25">
      <c r="A34" s="109">
        <v>44254</v>
      </c>
      <c r="B34" s="59">
        <v>99</v>
      </c>
      <c r="C34" s="2" t="s">
        <v>6</v>
      </c>
      <c r="D34" s="2"/>
      <c r="E34" s="2" t="s">
        <v>17</v>
      </c>
      <c r="F34" s="63">
        <f t="shared" ca="1" si="0"/>
        <v>61.1</v>
      </c>
      <c r="G34" s="59" t="s">
        <v>104</v>
      </c>
      <c r="H34" s="59"/>
      <c r="I34" s="96"/>
      <c r="J34" s="8"/>
      <c r="K34" s="8"/>
      <c r="L34" s="4" t="s">
        <v>105</v>
      </c>
      <c r="M34" s="59">
        <f>A34-A30</f>
        <v>328</v>
      </c>
      <c r="N34" s="7"/>
    </row>
    <row r="35" spans="1:14" x14ac:dyDescent="0.25">
      <c r="A35" s="109">
        <v>44254</v>
      </c>
      <c r="B35" s="59">
        <v>97</v>
      </c>
      <c r="C35" s="2" t="s">
        <v>4</v>
      </c>
      <c r="D35" s="2"/>
      <c r="E35" s="2" t="s">
        <v>17</v>
      </c>
      <c r="F35" s="63">
        <f t="shared" ca="1" si="0"/>
        <v>61.1</v>
      </c>
      <c r="G35" s="59" t="s">
        <v>104</v>
      </c>
      <c r="H35" s="59"/>
      <c r="I35" s="95"/>
      <c r="J35" s="6"/>
      <c r="K35" s="8"/>
      <c r="L35" s="4" t="s">
        <v>105</v>
      </c>
      <c r="M35" s="44">
        <f>A35-A25</f>
        <v>474</v>
      </c>
      <c r="N35" s="7"/>
    </row>
    <row r="36" spans="1:14" x14ac:dyDescent="0.25">
      <c r="A36" s="109">
        <v>44254</v>
      </c>
      <c r="B36" s="59">
        <v>96</v>
      </c>
      <c r="C36" s="2" t="s">
        <v>118</v>
      </c>
      <c r="D36" s="2"/>
      <c r="E36" s="2" t="s">
        <v>17</v>
      </c>
      <c r="F36" s="63">
        <f t="shared" ca="1" si="0"/>
        <v>61.1</v>
      </c>
      <c r="G36" s="59">
        <v>4</v>
      </c>
      <c r="H36" s="59"/>
      <c r="I36" s="96">
        <f>(280-(G36*30))+A36</f>
        <v>44414</v>
      </c>
      <c r="J36" s="8">
        <f ca="1">I36-TODAY()</f>
        <v>-1673</v>
      </c>
      <c r="K36" s="8"/>
      <c r="L36" s="4" t="s">
        <v>105</v>
      </c>
      <c r="M36" s="59"/>
      <c r="N36" s="7"/>
    </row>
    <row r="37" spans="1:14" x14ac:dyDescent="0.25">
      <c r="A37" s="109">
        <v>44254</v>
      </c>
      <c r="B37" s="59">
        <v>18002</v>
      </c>
      <c r="C37" s="2" t="s">
        <v>117</v>
      </c>
      <c r="D37" s="2"/>
      <c r="E37" s="2" t="s">
        <v>17</v>
      </c>
      <c r="F37" s="63">
        <f t="shared" ca="1" si="0"/>
        <v>61.1</v>
      </c>
      <c r="G37" s="59">
        <v>6</v>
      </c>
      <c r="H37" s="59"/>
      <c r="I37" s="96">
        <f>(280-(G37*30))+A37</f>
        <v>44354</v>
      </c>
      <c r="J37" s="8">
        <f ca="1">I37-TODAY()</f>
        <v>-1733</v>
      </c>
      <c r="K37" s="8"/>
      <c r="L37" s="4" t="s">
        <v>105</v>
      </c>
      <c r="M37" s="44"/>
      <c r="N37" s="7"/>
    </row>
    <row r="38" spans="1:14" x14ac:dyDescent="0.25">
      <c r="A38" s="109">
        <v>44391</v>
      </c>
      <c r="B38" s="59">
        <v>99</v>
      </c>
      <c r="C38" s="2" t="s">
        <v>6</v>
      </c>
      <c r="D38" s="2"/>
      <c r="E38" s="2" t="s">
        <v>17</v>
      </c>
      <c r="F38" s="63">
        <f t="shared" ref="F38:F69" ca="1" si="1">(TODAY()-A38)/30</f>
        <v>56.533333333333331</v>
      </c>
      <c r="G38" s="59">
        <v>4.5</v>
      </c>
      <c r="H38" s="59"/>
      <c r="I38" s="96">
        <f>(280-(G38*30))+A38</f>
        <v>44536</v>
      </c>
      <c r="J38" s="8"/>
      <c r="K38" s="8"/>
      <c r="L38" s="4" t="s">
        <v>116</v>
      </c>
      <c r="M38" s="59"/>
      <c r="N38" s="7"/>
    </row>
    <row r="39" spans="1:14" x14ac:dyDescent="0.25">
      <c r="A39" s="109">
        <v>44391</v>
      </c>
      <c r="B39" s="59">
        <v>97</v>
      </c>
      <c r="C39" s="2" t="s">
        <v>4</v>
      </c>
      <c r="D39" s="2"/>
      <c r="E39" s="2" t="s">
        <v>17</v>
      </c>
      <c r="F39" s="63">
        <f t="shared" ca="1" si="1"/>
        <v>56.533333333333331</v>
      </c>
      <c r="G39" s="59">
        <v>7.5</v>
      </c>
      <c r="H39" s="59"/>
      <c r="I39" s="95">
        <f>(280-(G39*30))+A39</f>
        <v>44446</v>
      </c>
      <c r="J39" s="6"/>
      <c r="K39" s="8"/>
      <c r="L39" s="4" t="s">
        <v>116</v>
      </c>
      <c r="M39" s="44"/>
      <c r="N39" s="7"/>
    </row>
    <row r="40" spans="1:14" x14ac:dyDescent="0.25">
      <c r="A40" s="109">
        <v>44407</v>
      </c>
      <c r="B40" s="59">
        <v>18001</v>
      </c>
      <c r="C40" s="2" t="s">
        <v>103</v>
      </c>
      <c r="D40" s="2"/>
      <c r="E40" s="2" t="s">
        <v>22</v>
      </c>
      <c r="F40" s="63">
        <f t="shared" ca="1" si="1"/>
        <v>56</v>
      </c>
      <c r="G40" s="59" t="s">
        <v>24</v>
      </c>
      <c r="H40" s="59"/>
      <c r="I40" s="96"/>
      <c r="J40" s="8"/>
      <c r="K40" s="8"/>
      <c r="L40" s="4"/>
      <c r="M40" s="59"/>
      <c r="N40" s="7"/>
    </row>
    <row r="41" spans="1:14" x14ac:dyDescent="0.25">
      <c r="A41" s="109">
        <v>44411</v>
      </c>
      <c r="B41" s="59">
        <v>18002</v>
      </c>
      <c r="C41" s="2" t="s">
        <v>117</v>
      </c>
      <c r="D41" s="2"/>
      <c r="E41" s="2" t="s">
        <v>22</v>
      </c>
      <c r="F41" s="63">
        <f t="shared" ca="1" si="1"/>
        <v>55.866666666666667</v>
      </c>
      <c r="G41" s="59" t="s">
        <v>24</v>
      </c>
      <c r="H41" s="59"/>
      <c r="I41" s="95"/>
      <c r="J41" s="6"/>
      <c r="K41" s="8"/>
      <c r="L41" s="4"/>
      <c r="M41" s="44" t="s">
        <v>121</v>
      </c>
      <c r="N41" s="7"/>
    </row>
    <row r="42" spans="1:14" x14ac:dyDescent="0.25">
      <c r="A42" s="109">
        <v>44416</v>
      </c>
      <c r="B42" s="59">
        <v>97</v>
      </c>
      <c r="C42" s="2" t="s">
        <v>4</v>
      </c>
      <c r="D42" s="2"/>
      <c r="E42" s="2" t="s">
        <v>22</v>
      </c>
      <c r="F42" s="63">
        <f t="shared" ca="1" si="1"/>
        <v>55.7</v>
      </c>
      <c r="G42" s="59" t="s">
        <v>24</v>
      </c>
      <c r="H42" s="59"/>
      <c r="I42" s="95"/>
      <c r="J42" s="6"/>
      <c r="K42" s="8"/>
      <c r="L42" s="4"/>
      <c r="M42" s="44"/>
      <c r="N42" s="7"/>
    </row>
    <row r="43" spans="1:14" x14ac:dyDescent="0.25">
      <c r="A43" s="109">
        <v>44418</v>
      </c>
      <c r="B43" s="59">
        <v>96</v>
      </c>
      <c r="C43" s="2" t="s">
        <v>118</v>
      </c>
      <c r="D43" s="2"/>
      <c r="E43" s="2" t="s">
        <v>22</v>
      </c>
      <c r="F43" s="63">
        <f t="shared" ca="1" si="1"/>
        <v>55.633333333333333</v>
      </c>
      <c r="G43" s="59" t="s">
        <v>23</v>
      </c>
      <c r="H43" s="59"/>
      <c r="I43" s="96"/>
      <c r="J43" s="8"/>
      <c r="K43" s="8"/>
      <c r="L43" s="4"/>
      <c r="M43" s="59" t="s">
        <v>121</v>
      </c>
      <c r="N43" s="7"/>
    </row>
    <row r="44" spans="1:14" x14ac:dyDescent="0.25">
      <c r="A44" s="109">
        <v>44501</v>
      </c>
      <c r="B44" s="59">
        <v>97</v>
      </c>
      <c r="C44" s="2" t="s">
        <v>4</v>
      </c>
      <c r="D44" s="2"/>
      <c r="E44" s="2" t="s">
        <v>119</v>
      </c>
      <c r="F44" s="63">
        <f t="shared" ca="1" si="1"/>
        <v>52.866666666666667</v>
      </c>
      <c r="G44" s="59" t="s">
        <v>120</v>
      </c>
      <c r="H44" s="59"/>
      <c r="I44" s="95">
        <f>A44+280</f>
        <v>44781</v>
      </c>
      <c r="J44" s="6"/>
      <c r="K44" s="8"/>
      <c r="L44" s="4"/>
      <c r="M44" s="44"/>
      <c r="N44" s="7"/>
    </row>
    <row r="45" spans="1:14" x14ac:dyDescent="0.25">
      <c r="A45" s="109">
        <v>44536</v>
      </c>
      <c r="B45" s="59">
        <v>99</v>
      </c>
      <c r="C45" s="2" t="s">
        <v>6</v>
      </c>
      <c r="D45" s="2" t="s">
        <v>216</v>
      </c>
      <c r="E45" s="2" t="s">
        <v>22</v>
      </c>
      <c r="F45" s="63">
        <f t="shared" ca="1" si="1"/>
        <v>51.7</v>
      </c>
      <c r="G45" s="59" t="s">
        <v>24</v>
      </c>
      <c r="H45" s="59"/>
      <c r="I45" s="96"/>
      <c r="J45" s="8"/>
      <c r="K45" s="8"/>
      <c r="L45" s="4"/>
      <c r="M45" s="59"/>
      <c r="N45" s="7"/>
    </row>
    <row r="46" spans="1:14" x14ac:dyDescent="0.25">
      <c r="A46" s="109">
        <v>44640</v>
      </c>
      <c r="B46" s="59" t="s">
        <v>114</v>
      </c>
      <c r="C46" s="2" t="s">
        <v>133</v>
      </c>
      <c r="D46" s="2" t="s">
        <v>148</v>
      </c>
      <c r="E46" s="2" t="s">
        <v>22</v>
      </c>
      <c r="F46" s="63">
        <f t="shared" ca="1" si="1"/>
        <v>48.233333333333334</v>
      </c>
      <c r="G46" s="59" t="s">
        <v>23</v>
      </c>
      <c r="H46" s="59">
        <v>26</v>
      </c>
      <c r="I46" s="95"/>
      <c r="J46" s="6"/>
      <c r="K46" s="8"/>
      <c r="L46" s="4"/>
      <c r="M46" s="44"/>
      <c r="N46" s="7"/>
    </row>
    <row r="47" spans="1:14" x14ac:dyDescent="0.25">
      <c r="A47" s="109">
        <v>44647</v>
      </c>
      <c r="B47" s="59" t="s">
        <v>113</v>
      </c>
      <c r="C47" s="2" t="s">
        <v>134</v>
      </c>
      <c r="D47" s="2" t="s">
        <v>216</v>
      </c>
      <c r="E47" s="2" t="s">
        <v>22</v>
      </c>
      <c r="F47" s="63">
        <f t="shared" ca="1" si="1"/>
        <v>48</v>
      </c>
      <c r="G47" s="59" t="s">
        <v>23</v>
      </c>
      <c r="H47" s="59">
        <v>33</v>
      </c>
      <c r="I47" s="96"/>
      <c r="J47" s="8"/>
      <c r="K47" s="8"/>
      <c r="L47" s="4"/>
      <c r="M47" s="59"/>
      <c r="N47" s="7"/>
    </row>
    <row r="48" spans="1:14" x14ac:dyDescent="0.25">
      <c r="A48" s="109">
        <v>44749</v>
      </c>
      <c r="B48" s="59">
        <v>96</v>
      </c>
      <c r="C48" s="2" t="s">
        <v>118</v>
      </c>
      <c r="D48" s="2" t="s">
        <v>216</v>
      </c>
      <c r="E48" s="2" t="s">
        <v>22</v>
      </c>
      <c r="F48" s="63">
        <f t="shared" ca="1" si="1"/>
        <v>44.6</v>
      </c>
      <c r="G48" s="59" t="s">
        <v>23</v>
      </c>
      <c r="H48" s="59">
        <v>41</v>
      </c>
      <c r="I48" s="95"/>
      <c r="J48" s="6"/>
      <c r="K48" s="8"/>
      <c r="L48" s="4"/>
      <c r="M48" s="44"/>
      <c r="N48" s="7"/>
    </row>
    <row r="49" spans="1:14" x14ac:dyDescent="0.25">
      <c r="A49" s="109">
        <v>44752</v>
      </c>
      <c r="B49" s="59">
        <v>18001</v>
      </c>
      <c r="C49" s="2" t="s">
        <v>103</v>
      </c>
      <c r="D49" s="2" t="s">
        <v>216</v>
      </c>
      <c r="E49" s="2" t="s">
        <v>22</v>
      </c>
      <c r="F49" s="63">
        <f t="shared" ca="1" si="1"/>
        <v>44.5</v>
      </c>
      <c r="G49" s="59" t="s">
        <v>24</v>
      </c>
      <c r="H49" s="59">
        <v>47</v>
      </c>
      <c r="I49" s="96"/>
      <c r="J49" s="8"/>
      <c r="K49" s="8"/>
      <c r="L49" s="4"/>
      <c r="M49" s="59"/>
      <c r="N49" s="7"/>
    </row>
    <row r="50" spans="1:14" x14ac:dyDescent="0.25">
      <c r="A50" s="109">
        <v>44804</v>
      </c>
      <c r="B50" s="59">
        <v>97</v>
      </c>
      <c r="C50" s="2" t="s">
        <v>4</v>
      </c>
      <c r="D50" s="2" t="s">
        <v>216</v>
      </c>
      <c r="E50" s="2" t="s">
        <v>22</v>
      </c>
      <c r="F50" s="63">
        <f t="shared" ca="1" si="1"/>
        <v>42.766666666666666</v>
      </c>
      <c r="G50" s="59" t="s">
        <v>24</v>
      </c>
      <c r="H50" s="59">
        <v>20</v>
      </c>
      <c r="I50" s="95"/>
      <c r="J50" s="6"/>
      <c r="K50" s="8"/>
      <c r="L50" s="4"/>
      <c r="M50" s="44"/>
      <c r="N50" s="7"/>
    </row>
    <row r="51" spans="1:14" x14ac:dyDescent="0.25">
      <c r="A51" s="109">
        <v>44806</v>
      </c>
      <c r="B51" s="59">
        <v>18002</v>
      </c>
      <c r="C51" s="2" t="s">
        <v>117</v>
      </c>
      <c r="D51" s="2"/>
      <c r="E51" s="2" t="s">
        <v>17</v>
      </c>
      <c r="F51" s="63">
        <f t="shared" ca="1" si="1"/>
        <v>42.7</v>
      </c>
      <c r="G51" s="59" t="s">
        <v>143</v>
      </c>
      <c r="H51" s="59">
        <v>470</v>
      </c>
      <c r="I51" s="95"/>
      <c r="J51" s="6"/>
      <c r="K51" s="8"/>
      <c r="L51" s="4"/>
      <c r="M51" s="44"/>
      <c r="N51" s="7"/>
    </row>
    <row r="52" spans="1:14" x14ac:dyDescent="0.25">
      <c r="A52" s="109">
        <v>44806</v>
      </c>
      <c r="B52" s="59" t="s">
        <v>113</v>
      </c>
      <c r="C52" s="2" t="s">
        <v>134</v>
      </c>
      <c r="D52" s="2"/>
      <c r="E52" s="2" t="s">
        <v>17</v>
      </c>
      <c r="F52" s="63">
        <f t="shared" ca="1" si="1"/>
        <v>42.7</v>
      </c>
      <c r="G52" s="59">
        <v>1.5</v>
      </c>
      <c r="H52" s="59">
        <v>375</v>
      </c>
      <c r="I52" s="96"/>
      <c r="J52" s="8"/>
      <c r="K52" s="8"/>
      <c r="L52" s="4"/>
      <c r="M52" s="59"/>
      <c r="N52" s="7"/>
    </row>
    <row r="53" spans="1:14" x14ac:dyDescent="0.25">
      <c r="A53" s="109">
        <v>44806</v>
      </c>
      <c r="B53" s="59">
        <v>97</v>
      </c>
      <c r="C53" s="2" t="s">
        <v>4</v>
      </c>
      <c r="D53" s="2"/>
      <c r="E53" s="2" t="s">
        <v>144</v>
      </c>
      <c r="F53" s="63">
        <f t="shared" ca="1" si="1"/>
        <v>42.7</v>
      </c>
      <c r="G53" s="59"/>
      <c r="H53" s="59">
        <v>385</v>
      </c>
      <c r="I53" s="95"/>
      <c r="J53" s="6"/>
      <c r="K53" s="8"/>
      <c r="L53" s="4"/>
      <c r="M53" s="44"/>
      <c r="N53" s="7"/>
    </row>
    <row r="54" spans="1:14" x14ac:dyDescent="0.25">
      <c r="A54" s="109">
        <v>44806</v>
      </c>
      <c r="B54" s="59">
        <v>99</v>
      </c>
      <c r="C54" s="2" t="s">
        <v>6</v>
      </c>
      <c r="D54" s="2"/>
      <c r="E54" s="2" t="s">
        <v>17</v>
      </c>
      <c r="F54" s="63">
        <f t="shared" ca="1" si="1"/>
        <v>42.7</v>
      </c>
      <c r="G54" s="59" t="s">
        <v>145</v>
      </c>
      <c r="H54" s="59">
        <v>366</v>
      </c>
      <c r="I54" s="96"/>
      <c r="J54" s="8"/>
      <c r="K54" s="8"/>
      <c r="L54" s="4"/>
      <c r="M54" s="59"/>
      <c r="N54" s="7"/>
    </row>
    <row r="55" spans="1:14" x14ac:dyDescent="0.25">
      <c r="A55" s="109">
        <v>44806</v>
      </c>
      <c r="B55" s="59" t="s">
        <v>140</v>
      </c>
      <c r="C55" s="2" t="s">
        <v>127</v>
      </c>
      <c r="D55" s="2"/>
      <c r="E55" s="2" t="s">
        <v>17</v>
      </c>
      <c r="F55" s="63">
        <f t="shared" ca="1" si="1"/>
        <v>42.7</v>
      </c>
      <c r="G55" s="59">
        <v>4</v>
      </c>
      <c r="H55" s="59">
        <v>350</v>
      </c>
      <c r="I55" s="95"/>
      <c r="J55" s="6"/>
      <c r="K55" s="8"/>
      <c r="L55" s="4"/>
      <c r="M55" s="44"/>
      <c r="N55" s="7"/>
    </row>
    <row r="56" spans="1:14" x14ac:dyDescent="0.25">
      <c r="A56" s="109">
        <v>44806</v>
      </c>
      <c r="B56" s="59">
        <v>96</v>
      </c>
      <c r="C56" s="2" t="s">
        <v>118</v>
      </c>
      <c r="D56" s="2"/>
      <c r="E56" s="2" t="s">
        <v>17</v>
      </c>
      <c r="F56" s="63">
        <f t="shared" ca="1" si="1"/>
        <v>42.7</v>
      </c>
      <c r="G56" s="59" t="s">
        <v>145</v>
      </c>
      <c r="H56" s="59">
        <v>410</v>
      </c>
      <c r="I56" s="96"/>
      <c r="J56" s="8"/>
      <c r="K56" s="8"/>
      <c r="L56" s="4"/>
      <c r="M56" s="59"/>
      <c r="N56" s="7"/>
    </row>
    <row r="57" spans="1:14" x14ac:dyDescent="0.25">
      <c r="A57" s="109">
        <v>44806</v>
      </c>
      <c r="B57" s="59">
        <v>18001</v>
      </c>
      <c r="C57" s="2" t="s">
        <v>103</v>
      </c>
      <c r="D57" s="2"/>
      <c r="E57" s="2" t="s">
        <v>144</v>
      </c>
      <c r="F57" s="63">
        <f t="shared" ca="1" si="1"/>
        <v>42.7</v>
      </c>
      <c r="G57" s="59"/>
      <c r="H57" s="59">
        <v>295</v>
      </c>
      <c r="I57" s="95"/>
      <c r="J57" s="6"/>
      <c r="K57" s="8"/>
      <c r="L57" s="4"/>
      <c r="M57" s="44"/>
      <c r="N57" s="7"/>
    </row>
    <row r="58" spans="1:14" x14ac:dyDescent="0.25">
      <c r="A58" s="109">
        <v>44806</v>
      </c>
      <c r="B58" s="59" t="s">
        <v>114</v>
      </c>
      <c r="C58" s="2" t="s">
        <v>133</v>
      </c>
      <c r="D58" s="2"/>
      <c r="E58" s="2" t="s">
        <v>17</v>
      </c>
      <c r="F58" s="63">
        <f t="shared" ca="1" si="1"/>
        <v>42.7</v>
      </c>
      <c r="G58" s="59" t="s">
        <v>146</v>
      </c>
      <c r="H58" s="59">
        <v>336</v>
      </c>
      <c r="I58" s="96"/>
      <c r="J58" s="8"/>
      <c r="K58" s="8"/>
      <c r="L58" s="4"/>
      <c r="M58" s="59"/>
      <c r="N58" s="7"/>
    </row>
    <row r="59" spans="1:14" x14ac:dyDescent="0.25">
      <c r="A59" s="109">
        <v>44806</v>
      </c>
      <c r="B59" s="59"/>
      <c r="C59" s="2" t="s">
        <v>147</v>
      </c>
      <c r="D59" s="2"/>
      <c r="E59" s="2" t="s">
        <v>144</v>
      </c>
      <c r="F59" s="63">
        <f t="shared" ca="1" si="1"/>
        <v>42.7</v>
      </c>
      <c r="G59" s="40" t="s">
        <v>148</v>
      </c>
      <c r="H59" s="59">
        <v>115</v>
      </c>
      <c r="I59" s="95"/>
      <c r="J59" s="6"/>
      <c r="K59" s="8"/>
      <c r="L59" s="4"/>
      <c r="M59" s="44"/>
      <c r="N59" s="7"/>
    </row>
    <row r="60" spans="1:14" x14ac:dyDescent="0.25">
      <c r="A60" s="109">
        <v>44806</v>
      </c>
      <c r="B60" s="59"/>
      <c r="C60" s="2" t="s">
        <v>149</v>
      </c>
      <c r="D60" s="2"/>
      <c r="E60" s="2" t="s">
        <v>144</v>
      </c>
      <c r="F60" s="63">
        <f t="shared" ca="1" si="1"/>
        <v>42.7</v>
      </c>
      <c r="G60" s="40" t="s">
        <v>148</v>
      </c>
      <c r="H60" s="59">
        <v>218</v>
      </c>
      <c r="I60" s="95"/>
      <c r="J60" s="6"/>
      <c r="K60" s="8"/>
      <c r="L60" s="4"/>
      <c r="M60" s="44"/>
      <c r="N60" s="7"/>
    </row>
    <row r="61" spans="1:14" x14ac:dyDescent="0.25">
      <c r="A61" s="109">
        <v>44806</v>
      </c>
      <c r="B61" s="59"/>
      <c r="C61" s="2" t="s">
        <v>150</v>
      </c>
      <c r="D61" s="2"/>
      <c r="E61" s="2" t="s">
        <v>144</v>
      </c>
      <c r="F61" s="63">
        <f t="shared" ca="1" si="1"/>
        <v>42.7</v>
      </c>
      <c r="G61" s="40" t="s">
        <v>148</v>
      </c>
      <c r="H61" s="59">
        <v>60</v>
      </c>
      <c r="I61" s="96"/>
      <c r="J61" s="8"/>
      <c r="K61" s="8"/>
      <c r="L61" s="4"/>
      <c r="M61" s="59"/>
      <c r="N61" s="7"/>
    </row>
    <row r="62" spans="1:14" x14ac:dyDescent="0.25">
      <c r="A62" s="109">
        <v>44806</v>
      </c>
      <c r="B62" s="59"/>
      <c r="C62" s="2" t="s">
        <v>153</v>
      </c>
      <c r="D62" s="2"/>
      <c r="E62" s="2" t="s">
        <v>144</v>
      </c>
      <c r="F62" s="63">
        <f t="shared" ca="1" si="1"/>
        <v>42.7</v>
      </c>
      <c r="G62" s="40" t="s">
        <v>148</v>
      </c>
      <c r="H62" s="59">
        <v>59</v>
      </c>
      <c r="I62" s="95"/>
      <c r="J62" s="6"/>
      <c r="K62" s="8"/>
      <c r="L62" s="4"/>
      <c r="M62" s="44"/>
      <c r="N62" s="7"/>
    </row>
    <row r="63" spans="1:14" x14ac:dyDescent="0.25">
      <c r="A63" s="109">
        <v>44806</v>
      </c>
      <c r="B63" s="59"/>
      <c r="C63" s="2" t="s">
        <v>152</v>
      </c>
      <c r="D63" s="2"/>
      <c r="E63" s="2" t="s">
        <v>144</v>
      </c>
      <c r="F63" s="63">
        <f t="shared" ca="1" si="1"/>
        <v>42.7</v>
      </c>
      <c r="G63" s="40" t="s">
        <v>151</v>
      </c>
      <c r="H63" s="59">
        <v>113</v>
      </c>
      <c r="I63" s="96"/>
      <c r="J63" s="8"/>
      <c r="K63" s="8"/>
      <c r="L63" s="4"/>
      <c r="M63" s="59"/>
      <c r="N63" s="7"/>
    </row>
    <row r="64" spans="1:14" x14ac:dyDescent="0.25">
      <c r="A64" s="109">
        <v>44806</v>
      </c>
      <c r="B64" s="59"/>
      <c r="C64" s="2" t="s">
        <v>153</v>
      </c>
      <c r="D64" s="2"/>
      <c r="E64" s="2" t="s">
        <v>144</v>
      </c>
      <c r="F64" s="63">
        <f t="shared" ca="1" si="1"/>
        <v>42.7</v>
      </c>
      <c r="G64" s="40" t="s">
        <v>148</v>
      </c>
      <c r="H64" s="59">
        <v>59</v>
      </c>
      <c r="I64" s="95"/>
      <c r="J64" s="6"/>
      <c r="K64" s="8"/>
      <c r="L64" s="4"/>
      <c r="M64" s="44"/>
      <c r="N64" s="7"/>
    </row>
    <row r="65" spans="1:14" x14ac:dyDescent="0.25">
      <c r="A65" s="109">
        <v>44806</v>
      </c>
      <c r="B65" s="59"/>
      <c r="C65" s="2" t="s">
        <v>149</v>
      </c>
      <c r="D65" s="2"/>
      <c r="E65" s="2" t="s">
        <v>144</v>
      </c>
      <c r="F65" s="63">
        <f t="shared" ca="1" si="1"/>
        <v>42.7</v>
      </c>
      <c r="G65" s="40" t="s">
        <v>151</v>
      </c>
      <c r="H65" s="59">
        <v>110</v>
      </c>
      <c r="I65" s="96"/>
      <c r="J65" s="8"/>
      <c r="K65" s="8"/>
      <c r="L65" s="4"/>
      <c r="M65" s="59"/>
      <c r="N65" s="7"/>
    </row>
    <row r="66" spans="1:14" x14ac:dyDescent="0.25">
      <c r="A66" s="109">
        <v>44806</v>
      </c>
      <c r="B66" s="59"/>
      <c r="C66" s="2" t="s">
        <v>154</v>
      </c>
      <c r="D66" s="2"/>
      <c r="E66" s="2" t="s">
        <v>144</v>
      </c>
      <c r="F66" s="63">
        <f t="shared" ca="1" si="1"/>
        <v>42.7</v>
      </c>
      <c r="G66" s="40" t="s">
        <v>148</v>
      </c>
      <c r="H66" s="59">
        <v>53</v>
      </c>
      <c r="I66" s="95"/>
      <c r="J66" s="6"/>
      <c r="K66" s="8"/>
      <c r="L66" s="4"/>
      <c r="M66" s="44"/>
      <c r="N66" s="7"/>
    </row>
    <row r="67" spans="1:14" x14ac:dyDescent="0.25">
      <c r="A67" s="109">
        <v>44806</v>
      </c>
      <c r="B67" s="59"/>
      <c r="C67" s="2" t="s">
        <v>149</v>
      </c>
      <c r="D67" s="2"/>
      <c r="E67" s="2" t="s">
        <v>144</v>
      </c>
      <c r="F67" s="63">
        <f t="shared" ca="1" si="1"/>
        <v>42.7</v>
      </c>
      <c r="G67" s="40" t="s">
        <v>151</v>
      </c>
      <c r="H67" s="59">
        <v>47</v>
      </c>
      <c r="I67" s="96"/>
      <c r="J67" s="8"/>
      <c r="K67" s="8"/>
      <c r="L67" s="4"/>
      <c r="M67" s="59"/>
      <c r="N67" s="7"/>
    </row>
    <row r="68" spans="1:14" x14ac:dyDescent="0.25">
      <c r="A68" s="109">
        <v>44806</v>
      </c>
      <c r="B68" s="59"/>
      <c r="C68" s="2" t="s">
        <v>4</v>
      </c>
      <c r="D68" s="2"/>
      <c r="E68" s="2" t="s">
        <v>144</v>
      </c>
      <c r="F68" s="63">
        <f t="shared" ca="1" si="1"/>
        <v>42.7</v>
      </c>
      <c r="G68" s="40" t="s">
        <v>151</v>
      </c>
      <c r="H68" s="59">
        <v>20</v>
      </c>
      <c r="I68" s="95"/>
      <c r="J68" s="6"/>
      <c r="K68" s="8"/>
      <c r="L68" s="4"/>
      <c r="M68" s="44"/>
      <c r="N68" s="7"/>
    </row>
    <row r="69" spans="1:14" x14ac:dyDescent="0.25">
      <c r="A69" s="109">
        <v>44811</v>
      </c>
      <c r="B69" s="59">
        <v>97</v>
      </c>
      <c r="C69" s="2" t="s">
        <v>4</v>
      </c>
      <c r="D69" s="2"/>
      <c r="E69" s="2" t="s">
        <v>119</v>
      </c>
      <c r="F69" s="63">
        <f t="shared" ca="1" si="1"/>
        <v>42.533333333333331</v>
      </c>
      <c r="G69" s="59" t="s">
        <v>142</v>
      </c>
      <c r="H69" s="59"/>
      <c r="I69" s="62">
        <f>A69+280</f>
        <v>45091</v>
      </c>
      <c r="J69" s="6"/>
      <c r="K69" s="8"/>
      <c r="L69" s="4"/>
      <c r="M69" s="44"/>
      <c r="N69" s="7"/>
    </row>
    <row r="70" spans="1:14" x14ac:dyDescent="0.25">
      <c r="A70" s="109">
        <v>44814</v>
      </c>
      <c r="B70" s="59">
        <v>18002</v>
      </c>
      <c r="C70" s="2" t="s">
        <v>117</v>
      </c>
      <c r="D70" s="2" t="s">
        <v>216</v>
      </c>
      <c r="E70" s="2" t="s">
        <v>30</v>
      </c>
      <c r="F70" s="63">
        <f t="shared" ref="F70:F78" ca="1" si="2">(TODAY()-A70)/30</f>
        <v>42.43333333333333</v>
      </c>
      <c r="G70" s="59" t="s">
        <v>24</v>
      </c>
      <c r="H70" s="59">
        <v>20</v>
      </c>
      <c r="I70" s="96"/>
      <c r="J70" s="8"/>
      <c r="K70" s="8"/>
      <c r="L70" s="4"/>
      <c r="M70" s="59"/>
      <c r="N70" s="7"/>
    </row>
    <row r="71" spans="1:14" x14ac:dyDescent="0.25">
      <c r="A71" s="109">
        <v>44910</v>
      </c>
      <c r="B71" s="59">
        <v>20193</v>
      </c>
      <c r="C71" s="2" t="s">
        <v>134</v>
      </c>
      <c r="D71" s="2" t="s">
        <v>216</v>
      </c>
      <c r="E71" s="2" t="s">
        <v>217</v>
      </c>
      <c r="F71" s="63">
        <f t="shared" ca="1" si="2"/>
        <v>39.233333333333334</v>
      </c>
      <c r="G71" s="59"/>
      <c r="H71" s="59">
        <v>20</v>
      </c>
      <c r="I71" s="95"/>
      <c r="J71" s="6"/>
      <c r="K71" s="8"/>
      <c r="L71" s="4"/>
      <c r="M71" s="44"/>
      <c r="N71" s="7"/>
    </row>
    <row r="72" spans="1:14" x14ac:dyDescent="0.25">
      <c r="A72" s="109">
        <v>44947</v>
      </c>
      <c r="B72" s="59">
        <v>15701</v>
      </c>
      <c r="C72" s="2" t="s">
        <v>204</v>
      </c>
      <c r="D72" s="2" t="s">
        <v>216</v>
      </c>
      <c r="E72" s="2" t="s">
        <v>217</v>
      </c>
      <c r="F72" s="63">
        <f t="shared" ca="1" si="2"/>
        <v>38</v>
      </c>
      <c r="G72" s="59"/>
      <c r="H72" s="59">
        <v>20</v>
      </c>
      <c r="I72" s="96"/>
      <c r="J72" s="8"/>
      <c r="K72" s="8"/>
      <c r="L72" s="4"/>
      <c r="M72" s="59"/>
      <c r="N72" s="7"/>
    </row>
    <row r="73" spans="1:14" x14ac:dyDescent="0.25">
      <c r="A73" s="109">
        <v>45006</v>
      </c>
      <c r="B73" s="59">
        <v>5114</v>
      </c>
      <c r="C73" s="2" t="s">
        <v>198</v>
      </c>
      <c r="D73" s="2" t="s">
        <v>216</v>
      </c>
      <c r="E73" s="2" t="s">
        <v>22</v>
      </c>
      <c r="F73" s="63">
        <f t="shared" ca="1" si="2"/>
        <v>36.033333333333331</v>
      </c>
      <c r="G73" s="59" t="s">
        <v>218</v>
      </c>
      <c r="H73" s="59">
        <v>20</v>
      </c>
      <c r="I73" s="95"/>
      <c r="J73" s="6"/>
      <c r="K73" s="8"/>
      <c r="L73" s="4"/>
      <c r="M73" s="44"/>
      <c r="N73" s="7"/>
    </row>
    <row r="74" spans="1:14" x14ac:dyDescent="0.25">
      <c r="A74" s="109">
        <v>45012</v>
      </c>
      <c r="B74" s="59">
        <v>61544</v>
      </c>
      <c r="C74" s="2" t="s">
        <v>199</v>
      </c>
      <c r="D74" s="2" t="s">
        <v>216</v>
      </c>
      <c r="E74" s="70" t="s">
        <v>30</v>
      </c>
      <c r="F74" s="63">
        <f t="shared" ca="1" si="2"/>
        <v>35.833333333333336</v>
      </c>
      <c r="G74" s="59" t="s">
        <v>24</v>
      </c>
      <c r="H74" s="59">
        <v>20</v>
      </c>
      <c r="I74" s="96"/>
      <c r="J74" s="8"/>
      <c r="K74" s="8"/>
      <c r="L74" s="4"/>
      <c r="M74" s="59"/>
      <c r="N74" s="7"/>
    </row>
    <row r="75" spans="1:14" x14ac:dyDescent="0.25">
      <c r="A75" s="109">
        <v>45012</v>
      </c>
      <c r="B75" s="59"/>
      <c r="C75" s="2" t="s">
        <v>219</v>
      </c>
      <c r="D75" s="2"/>
      <c r="E75" s="2" t="s">
        <v>220</v>
      </c>
      <c r="F75" s="63">
        <f t="shared" ca="1" si="2"/>
        <v>35.833333333333336</v>
      </c>
      <c r="G75" s="59"/>
      <c r="H75" s="59"/>
      <c r="I75" s="95"/>
      <c r="J75" s="6"/>
      <c r="K75" s="8"/>
      <c r="L75" s="4"/>
      <c r="M75" s="44"/>
      <c r="N75" s="7"/>
    </row>
    <row r="76" spans="1:14" x14ac:dyDescent="0.25">
      <c r="A76" s="109">
        <v>45024</v>
      </c>
      <c r="B76" s="59">
        <v>61544</v>
      </c>
      <c r="C76" s="2" t="s">
        <v>110</v>
      </c>
      <c r="D76" s="2"/>
      <c r="E76" s="2" t="s">
        <v>22</v>
      </c>
      <c r="F76" s="63">
        <f t="shared" ca="1" si="2"/>
        <v>35.43333333333333</v>
      </c>
      <c r="G76" s="59" t="s">
        <v>24</v>
      </c>
      <c r="H76" s="59"/>
      <c r="I76" s="96"/>
      <c r="J76" s="8"/>
      <c r="K76" s="8"/>
      <c r="L76" s="4"/>
      <c r="M76" s="59"/>
      <c r="N76" s="7"/>
    </row>
    <row r="77" spans="1:14" x14ac:dyDescent="0.25">
      <c r="A77" s="109">
        <v>45031</v>
      </c>
      <c r="B77" s="59"/>
      <c r="C77" s="2" t="s">
        <v>240</v>
      </c>
      <c r="D77" s="2"/>
      <c r="E77" s="2" t="s">
        <v>220</v>
      </c>
      <c r="F77" s="63">
        <f t="shared" ca="1" si="2"/>
        <v>35.200000000000003</v>
      </c>
      <c r="G77" s="59" t="s">
        <v>241</v>
      </c>
      <c r="H77" s="59"/>
      <c r="I77" s="95"/>
      <c r="J77" s="6"/>
      <c r="K77" s="8"/>
      <c r="L77" s="4"/>
      <c r="M77" s="44"/>
      <c r="N77" s="7"/>
    </row>
    <row r="78" spans="1:14" x14ac:dyDescent="0.25">
      <c r="A78" s="109">
        <v>45061</v>
      </c>
      <c r="B78" s="59">
        <v>1650</v>
      </c>
      <c r="C78" s="2" t="s">
        <v>107</v>
      </c>
      <c r="D78" s="2"/>
      <c r="E78" s="2" t="s">
        <v>22</v>
      </c>
      <c r="F78" s="63">
        <f t="shared" ca="1" si="2"/>
        <v>34.200000000000003</v>
      </c>
      <c r="G78" s="59" t="s">
        <v>24</v>
      </c>
      <c r="H78" s="59"/>
      <c r="I78" s="95"/>
      <c r="J78" s="6"/>
      <c r="K78" s="8"/>
      <c r="L78" s="4"/>
      <c r="M78" s="44"/>
      <c r="N78" s="7"/>
    </row>
    <row r="79" spans="1:14" x14ac:dyDescent="0.25">
      <c r="A79" s="110">
        <v>45095</v>
      </c>
      <c r="B79" s="89">
        <v>6001</v>
      </c>
      <c r="C79" s="87" t="s">
        <v>316</v>
      </c>
      <c r="D79" s="89" t="s">
        <v>23</v>
      </c>
      <c r="E79" s="70" t="s">
        <v>22</v>
      </c>
      <c r="F79" s="63">
        <f ca="1">(TODAY()-A79)/30</f>
        <v>33.06666666666667</v>
      </c>
      <c r="G79" s="89" t="s">
        <v>23</v>
      </c>
      <c r="H79" s="59"/>
      <c r="I79" s="95"/>
      <c r="J79" s="6"/>
      <c r="K79" s="98"/>
      <c r="L79" s="4"/>
      <c r="M79" s="44"/>
      <c r="N79" s="7"/>
    </row>
    <row r="80" spans="1:14" x14ac:dyDescent="0.25">
      <c r="A80" s="111">
        <v>45120</v>
      </c>
      <c r="B80" s="90">
        <v>96</v>
      </c>
      <c r="C80" s="88" t="s">
        <v>118</v>
      </c>
      <c r="D80" s="90" t="s">
        <v>24</v>
      </c>
      <c r="E80" s="70" t="s">
        <v>22</v>
      </c>
      <c r="F80" s="63">
        <f ca="1">(TODAY()-A80)/30</f>
        <v>32.233333333333334</v>
      </c>
      <c r="G80" s="90" t="s">
        <v>24</v>
      </c>
      <c r="H80" s="59"/>
      <c r="I80" s="95"/>
      <c r="J80" s="6"/>
      <c r="K80" s="98"/>
      <c r="L80" s="4"/>
      <c r="M80" s="44"/>
      <c r="N80" s="7"/>
    </row>
    <row r="81" spans="1:17" x14ac:dyDescent="0.25">
      <c r="A81" s="110">
        <v>45126</v>
      </c>
      <c r="B81" s="89" t="s">
        <v>306</v>
      </c>
      <c r="C81" s="87" t="s">
        <v>317</v>
      </c>
      <c r="D81" s="89" t="s">
        <v>23</v>
      </c>
      <c r="E81" s="70" t="s">
        <v>22</v>
      </c>
      <c r="F81" s="63">
        <f ca="1">(TODAY()-A81)/30</f>
        <v>32.033333333333331</v>
      </c>
      <c r="G81" s="89" t="s">
        <v>23</v>
      </c>
      <c r="H81" s="59"/>
      <c r="I81" s="95"/>
      <c r="J81" s="6"/>
      <c r="K81" s="98"/>
      <c r="L81" s="4"/>
      <c r="M81" s="44"/>
      <c r="N81" s="7"/>
    </row>
    <row r="82" spans="1:17" x14ac:dyDescent="0.25">
      <c r="A82" s="111">
        <v>45145</v>
      </c>
      <c r="B82" s="90" t="s">
        <v>114</v>
      </c>
      <c r="C82" s="88" t="s">
        <v>133</v>
      </c>
      <c r="D82" s="90" t="s">
        <v>23</v>
      </c>
      <c r="E82" s="70" t="s">
        <v>22</v>
      </c>
      <c r="F82" s="63">
        <f ca="1">(TODAY()-A82)/30</f>
        <v>31.4</v>
      </c>
      <c r="G82" s="90" t="s">
        <v>23</v>
      </c>
      <c r="H82" s="59"/>
      <c r="I82" s="95"/>
      <c r="J82" s="6"/>
      <c r="K82" s="98"/>
      <c r="L82" s="4"/>
      <c r="M82" s="44"/>
      <c r="N82" s="7"/>
    </row>
    <row r="83" spans="1:17" x14ac:dyDescent="0.25">
      <c r="A83" s="109"/>
      <c r="B83" s="59"/>
      <c r="C83" s="70"/>
      <c r="D83" s="70"/>
      <c r="E83" s="70"/>
      <c r="F83" s="63"/>
      <c r="G83" s="59"/>
      <c r="H83" s="59"/>
      <c r="I83" s="95"/>
      <c r="J83" s="6"/>
      <c r="K83" s="98"/>
      <c r="L83" s="4"/>
      <c r="M83" s="44"/>
      <c r="N83" s="7"/>
    </row>
    <row r="84" spans="1:17" x14ac:dyDescent="0.25">
      <c r="A84" s="60" t="s">
        <v>75</v>
      </c>
      <c r="B84" s="84"/>
      <c r="C84" s="92"/>
      <c r="D84" s="92"/>
      <c r="E84" s="92"/>
      <c r="F84" s="92"/>
      <c r="G84" s="84"/>
      <c r="H84" s="84"/>
      <c r="I84" s="97"/>
      <c r="J84" s="84"/>
      <c r="K84" s="84"/>
      <c r="L84" s="92"/>
      <c r="M84" s="84">
        <f ca="1">SUBTOTAL(103,Tabla3[Columna3])</f>
        <v>18</v>
      </c>
    </row>
    <row r="86" spans="1:17" x14ac:dyDescent="0.25">
      <c r="Q86" s="1"/>
    </row>
    <row r="87" spans="1:17" x14ac:dyDescent="0.25">
      <c r="Q87" s="1"/>
    </row>
    <row r="88" spans="1:17" x14ac:dyDescent="0.25">
      <c r="B88" s="99">
        <v>45166</v>
      </c>
      <c r="C88" t="s">
        <v>313</v>
      </c>
      <c r="Q88" s="1"/>
    </row>
    <row r="89" spans="1:17" x14ac:dyDescent="0.25">
      <c r="C89" t="s">
        <v>311</v>
      </c>
      <c r="D89" t="s">
        <v>312</v>
      </c>
      <c r="E89" s="100">
        <f>800/670</f>
        <v>1.1940298507462686</v>
      </c>
      <c r="Q89" s="1"/>
    </row>
    <row r="90" spans="1:17" x14ac:dyDescent="0.25">
      <c r="Q90" s="1"/>
    </row>
    <row r="91" spans="1:17" x14ac:dyDescent="0.25">
      <c r="Q91" s="1"/>
    </row>
    <row r="92" spans="1:17" x14ac:dyDescent="0.25">
      <c r="Q92" s="1"/>
    </row>
    <row r="93" spans="1:17" x14ac:dyDescent="0.25">
      <c r="Q93" s="1"/>
    </row>
    <row r="94" spans="1:17" x14ac:dyDescent="0.25">
      <c r="Q94" s="1"/>
    </row>
    <row r="95" spans="1:17" x14ac:dyDescent="0.25">
      <c r="Q95" s="1"/>
    </row>
    <row r="96" spans="1:17" x14ac:dyDescent="0.25">
      <c r="Q96" s="1"/>
    </row>
    <row r="97" spans="17:17" x14ac:dyDescent="0.25">
      <c r="Q97" s="1"/>
    </row>
  </sheetData>
  <printOptions horizontalCentered="1"/>
  <pageMargins left="0.11811023622047245" right="0.11811023622047245" top="0.94488188976377963" bottom="0.74803149606299213" header="0.31496062992125984" footer="0.31496062992125984"/>
  <pageSetup orientation="portrait" verticalDpi="120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BF911-D768-441A-905C-B34C182B606D}">
  <dimension ref="A1:S175"/>
  <sheetViews>
    <sheetView workbookViewId="0">
      <selection activeCell="G163" sqref="G163"/>
    </sheetView>
  </sheetViews>
  <sheetFormatPr baseColWidth="10" defaultRowHeight="15" x14ac:dyDescent="0.25"/>
  <cols>
    <col min="1" max="1" width="6" customWidth="1"/>
    <col min="2" max="2" width="19.28515625" bestFit="1" customWidth="1"/>
    <col min="3" max="3" width="16.140625" customWidth="1"/>
    <col min="4" max="4" width="15.85546875" customWidth="1"/>
    <col min="5" max="5" width="14.5703125" customWidth="1"/>
    <col min="6" max="6" width="11.85546875" customWidth="1"/>
    <col min="7" max="7" width="12" customWidth="1"/>
    <col min="8" max="9" width="12" style="1" customWidth="1"/>
    <col min="10" max="10" width="12.85546875" customWidth="1"/>
    <col min="11" max="11" width="16" customWidth="1"/>
    <col min="12" max="12" width="8" customWidth="1"/>
    <col min="13" max="14" width="10.5703125" customWidth="1"/>
    <col min="15" max="15" width="7.5703125" customWidth="1"/>
    <col min="16" max="16" width="7.42578125" customWidth="1"/>
    <col min="17" max="17" width="7.7109375" customWidth="1"/>
    <col min="18" max="18" width="5.7109375" customWidth="1"/>
    <col min="19" max="19" width="7.28515625" customWidth="1"/>
  </cols>
  <sheetData>
    <row r="1" spans="1:9" ht="18.75" x14ac:dyDescent="0.3">
      <c r="A1" s="277" t="s">
        <v>564</v>
      </c>
    </row>
    <row r="3" spans="1:9" x14ac:dyDescent="0.25">
      <c r="A3" s="318" t="s">
        <v>554</v>
      </c>
      <c r="B3" s="333" t="s">
        <v>12</v>
      </c>
      <c r="C3" s="333" t="s">
        <v>234</v>
      </c>
      <c r="D3" s="333" t="s">
        <v>482</v>
      </c>
      <c r="E3" s="333" t="s">
        <v>546</v>
      </c>
      <c r="F3" s="334" t="s">
        <v>235</v>
      </c>
      <c r="G3" s="230" t="s">
        <v>563</v>
      </c>
      <c r="H3" s="256" t="s">
        <v>94</v>
      </c>
      <c r="I3" s="259" t="s">
        <v>75</v>
      </c>
    </row>
    <row r="4" spans="1:9" x14ac:dyDescent="0.25">
      <c r="A4" s="337">
        <f>WEEKNUM(Queso!$B4)</f>
        <v>49</v>
      </c>
      <c r="B4" s="323">
        <v>45266</v>
      </c>
      <c r="C4" s="323"/>
      <c r="D4" s="324">
        <v>42</v>
      </c>
      <c r="E4" s="325">
        <v>5.1100000000000003</v>
      </c>
      <c r="F4" s="326">
        <f>IFERROR(Queso!$D4/Queso!$E4,"")</f>
        <v>8.2191780821917799</v>
      </c>
      <c r="G4" s="231" t="s">
        <v>561</v>
      </c>
      <c r="H4" s="314"/>
      <c r="I4" s="315"/>
    </row>
    <row r="5" spans="1:9" x14ac:dyDescent="0.25">
      <c r="A5" s="337">
        <f>WEEKNUM(Queso!$B5)</f>
        <v>49</v>
      </c>
      <c r="B5" s="327">
        <f t="shared" ref="B5:B68" si="0">B4+1</f>
        <v>45267</v>
      </c>
      <c r="C5" s="327"/>
      <c r="D5" s="328">
        <v>35</v>
      </c>
      <c r="E5" s="329">
        <v>4.2</v>
      </c>
      <c r="F5" s="330">
        <f>IFERROR(Queso!$D5/Queso!$E5,"")</f>
        <v>8.3333333333333321</v>
      </c>
      <c r="G5" s="231"/>
      <c r="H5" s="314"/>
      <c r="I5" s="315"/>
    </row>
    <row r="6" spans="1:9" x14ac:dyDescent="0.25">
      <c r="A6" s="337">
        <f>WEEKNUM(Queso!$B6)</f>
        <v>49</v>
      </c>
      <c r="B6" s="323">
        <f t="shared" si="0"/>
        <v>45268</v>
      </c>
      <c r="C6" s="323"/>
      <c r="D6" s="324">
        <v>38</v>
      </c>
      <c r="E6" s="325">
        <v>4.2949999999999999</v>
      </c>
      <c r="F6" s="326">
        <f>IFERROR(Queso!$D6/Queso!$E6,"")</f>
        <v>8.8474970896391145</v>
      </c>
      <c r="G6" s="231"/>
      <c r="H6" s="314"/>
      <c r="I6" s="315"/>
    </row>
    <row r="7" spans="1:9" x14ac:dyDescent="0.25">
      <c r="A7" s="337">
        <f>WEEKNUM(Queso!$B7)</f>
        <v>49</v>
      </c>
      <c r="B7" s="327">
        <f t="shared" si="0"/>
        <v>45269</v>
      </c>
      <c r="C7" s="327"/>
      <c r="D7" s="328">
        <v>36</v>
      </c>
      <c r="E7" s="329">
        <v>4.2</v>
      </c>
      <c r="F7" s="330">
        <f>IFERROR(Queso!$D7/Queso!$E7,"")</f>
        <v>8.5714285714285712</v>
      </c>
      <c r="G7" s="231"/>
      <c r="H7" s="314"/>
      <c r="I7" s="315"/>
    </row>
    <row r="8" spans="1:9" x14ac:dyDescent="0.25">
      <c r="A8" s="337">
        <f>WEEKNUM(Queso!$B8)</f>
        <v>50</v>
      </c>
      <c r="B8" s="323">
        <f t="shared" si="0"/>
        <v>45270</v>
      </c>
      <c r="C8" s="323"/>
      <c r="D8" s="324">
        <v>36</v>
      </c>
      <c r="E8" s="325">
        <v>4.2</v>
      </c>
      <c r="F8" s="326">
        <f>IFERROR(Queso!$D8/Queso!$E8,"")</f>
        <v>8.5714285714285712</v>
      </c>
      <c r="G8" s="231"/>
      <c r="H8" s="314"/>
      <c r="I8" s="315"/>
    </row>
    <row r="9" spans="1:9" x14ac:dyDescent="0.25">
      <c r="A9" s="337">
        <f>WEEKNUM(Queso!$B9)</f>
        <v>50</v>
      </c>
      <c r="B9" s="327">
        <f t="shared" si="0"/>
        <v>45271</v>
      </c>
      <c r="C9" s="327"/>
      <c r="D9" s="328">
        <v>38</v>
      </c>
      <c r="E9" s="329">
        <v>4.05</v>
      </c>
      <c r="F9" s="330">
        <f>IFERROR(Queso!$D9/Queso!$E9,"")</f>
        <v>9.3827160493827169</v>
      </c>
      <c r="G9" s="231"/>
      <c r="H9" s="314"/>
      <c r="I9" s="315"/>
    </row>
    <row r="10" spans="1:9" x14ac:dyDescent="0.25">
      <c r="A10" s="337">
        <f>WEEKNUM(Queso!$B10)</f>
        <v>50</v>
      </c>
      <c r="B10" s="323">
        <f t="shared" si="0"/>
        <v>45272</v>
      </c>
      <c r="C10" s="323"/>
      <c r="D10" s="324">
        <v>36</v>
      </c>
      <c r="E10" s="325">
        <v>3.74</v>
      </c>
      <c r="F10" s="326">
        <f>IFERROR(Queso!$D10/Queso!$E10,"")</f>
        <v>9.6256684491978604</v>
      </c>
      <c r="G10" s="231"/>
      <c r="H10" s="314"/>
      <c r="I10" s="315"/>
    </row>
    <row r="11" spans="1:9" x14ac:dyDescent="0.25">
      <c r="A11" s="337">
        <f>WEEKNUM(Queso!$B11)</f>
        <v>50</v>
      </c>
      <c r="B11" s="327">
        <f t="shared" si="0"/>
        <v>45273</v>
      </c>
      <c r="C11" s="327"/>
      <c r="D11" s="328">
        <v>35</v>
      </c>
      <c r="E11" s="329">
        <v>4.0350000000000001</v>
      </c>
      <c r="F11" s="330">
        <f>IFERROR(Queso!$D11/Queso!$E11,"")</f>
        <v>8.6741016109045841</v>
      </c>
      <c r="G11" s="231"/>
      <c r="H11" s="314"/>
      <c r="I11" s="315"/>
    </row>
    <row r="12" spans="1:9" x14ac:dyDescent="0.25">
      <c r="A12" s="337">
        <f>WEEKNUM(Queso!$B12)</f>
        <v>50</v>
      </c>
      <c r="B12" s="323">
        <f t="shared" si="0"/>
        <v>45274</v>
      </c>
      <c r="C12" s="323"/>
      <c r="D12" s="324">
        <v>35</v>
      </c>
      <c r="E12" s="325">
        <v>4.1150000000000002</v>
      </c>
      <c r="F12" s="326">
        <f>IFERROR(Queso!$D12/Queso!$E12,"")</f>
        <v>8.5054678007290399</v>
      </c>
      <c r="G12" s="231"/>
      <c r="H12" s="314"/>
      <c r="I12" s="315"/>
    </row>
    <row r="13" spans="1:9" x14ac:dyDescent="0.25">
      <c r="A13" s="337">
        <f>WEEKNUM(Queso!$B13)</f>
        <v>50</v>
      </c>
      <c r="B13" s="327">
        <f t="shared" si="0"/>
        <v>45275</v>
      </c>
      <c r="C13" s="327"/>
      <c r="D13" s="328">
        <v>38</v>
      </c>
      <c r="E13" s="329">
        <v>4.3049999999999997</v>
      </c>
      <c r="F13" s="330">
        <f>IFERROR(Queso!$D13/Queso!$E13,"")</f>
        <v>8.8269454123112663</v>
      </c>
      <c r="G13" s="231"/>
      <c r="H13" s="314"/>
      <c r="I13" s="315"/>
    </row>
    <row r="14" spans="1:9" x14ac:dyDescent="0.25">
      <c r="A14" s="337">
        <f>WEEKNUM(Queso!$B14)</f>
        <v>50</v>
      </c>
      <c r="B14" s="323">
        <f t="shared" si="0"/>
        <v>45276</v>
      </c>
      <c r="C14" s="323"/>
      <c r="D14" s="324">
        <v>40</v>
      </c>
      <c r="E14" s="325">
        <v>4.1449999999999996</v>
      </c>
      <c r="F14" s="326">
        <f>IFERROR(Queso!$D14/Queso!$E14,"")</f>
        <v>9.6501809408926427</v>
      </c>
      <c r="G14" s="231"/>
      <c r="H14" s="314"/>
      <c r="I14" s="315"/>
    </row>
    <row r="15" spans="1:9" x14ac:dyDescent="0.25">
      <c r="A15" s="337">
        <f>WEEKNUM(Queso!$B15)</f>
        <v>51</v>
      </c>
      <c r="B15" s="327">
        <f t="shared" si="0"/>
        <v>45277</v>
      </c>
      <c r="C15" s="327"/>
      <c r="D15" s="328">
        <v>39</v>
      </c>
      <c r="E15" s="329">
        <v>3.98</v>
      </c>
      <c r="F15" s="330">
        <f>IFERROR(Queso!$D15/Queso!$E15,"")</f>
        <v>9.7989949748743719</v>
      </c>
      <c r="G15" s="231"/>
      <c r="H15" s="314"/>
      <c r="I15" s="315"/>
    </row>
    <row r="16" spans="1:9" x14ac:dyDescent="0.25">
      <c r="A16" s="337">
        <f>WEEKNUM(Queso!$B16)</f>
        <v>51</v>
      </c>
      <c r="B16" s="323">
        <f t="shared" si="0"/>
        <v>45278</v>
      </c>
      <c r="C16" s="323"/>
      <c r="D16" s="324">
        <v>40</v>
      </c>
      <c r="E16" s="325">
        <v>4.2350000000000003</v>
      </c>
      <c r="F16" s="326">
        <f>IFERROR(Queso!$D16/Queso!$E16,"")</f>
        <v>9.445100354191263</v>
      </c>
      <c r="G16" s="231"/>
      <c r="H16" s="314"/>
      <c r="I16" s="315"/>
    </row>
    <row r="17" spans="1:9" x14ac:dyDescent="0.25">
      <c r="A17" s="337">
        <f>WEEKNUM(Queso!$B17)</f>
        <v>51</v>
      </c>
      <c r="B17" s="327">
        <f t="shared" si="0"/>
        <v>45279</v>
      </c>
      <c r="C17" s="327"/>
      <c r="D17" s="328">
        <v>40</v>
      </c>
      <c r="E17" s="329">
        <v>3.8149999999999999</v>
      </c>
      <c r="F17" s="330">
        <f>IFERROR(Queso!$D17/Queso!$E17,"")</f>
        <v>10.484927916120578</v>
      </c>
      <c r="G17" s="231"/>
      <c r="H17" s="314"/>
      <c r="I17" s="315"/>
    </row>
    <row r="18" spans="1:9" x14ac:dyDescent="0.25">
      <c r="A18" s="337">
        <f>WEEKNUM(Queso!$B18)</f>
        <v>51</v>
      </c>
      <c r="B18" s="323">
        <f t="shared" si="0"/>
        <v>45280</v>
      </c>
      <c r="C18" s="323"/>
      <c r="D18" s="324">
        <v>40</v>
      </c>
      <c r="E18" s="325">
        <v>4.55</v>
      </c>
      <c r="F18" s="326">
        <f>IFERROR(Queso!$D18/Queso!$E18,"")</f>
        <v>8.791208791208792</v>
      </c>
      <c r="G18" s="231"/>
      <c r="H18" s="314"/>
      <c r="I18" s="315"/>
    </row>
    <row r="19" spans="1:9" x14ac:dyDescent="0.25">
      <c r="A19" s="337">
        <f>WEEKNUM(Queso!$B19)</f>
        <v>51</v>
      </c>
      <c r="B19" s="327">
        <f t="shared" si="0"/>
        <v>45281</v>
      </c>
      <c r="C19" s="327"/>
      <c r="D19" s="328">
        <v>39</v>
      </c>
      <c r="E19" s="329">
        <v>4.7300000000000004</v>
      </c>
      <c r="F19" s="330">
        <f>IFERROR(Queso!$D19/Queso!$E19,"")</f>
        <v>8.2452431289640593</v>
      </c>
      <c r="G19" s="231"/>
      <c r="H19" s="314"/>
      <c r="I19" s="315"/>
    </row>
    <row r="20" spans="1:9" x14ac:dyDescent="0.25">
      <c r="A20" s="337">
        <f>WEEKNUM(Queso!$B20)</f>
        <v>51</v>
      </c>
      <c r="B20" s="323">
        <f t="shared" si="0"/>
        <v>45282</v>
      </c>
      <c r="C20" s="323"/>
      <c r="D20" s="324">
        <v>38</v>
      </c>
      <c r="E20" s="325">
        <v>4.55</v>
      </c>
      <c r="F20" s="326">
        <f>IFERROR(Queso!$D20/Queso!$E20,"")</f>
        <v>8.3516483516483522</v>
      </c>
      <c r="G20" s="231"/>
      <c r="H20" s="314"/>
      <c r="I20" s="315"/>
    </row>
    <row r="21" spans="1:9" x14ac:dyDescent="0.25">
      <c r="A21" s="337">
        <f>WEEKNUM(Queso!$B21)</f>
        <v>51</v>
      </c>
      <c r="B21" s="327">
        <f t="shared" si="0"/>
        <v>45283</v>
      </c>
      <c r="C21" s="327"/>
      <c r="D21" s="328">
        <v>38</v>
      </c>
      <c r="E21" s="329">
        <v>4.25</v>
      </c>
      <c r="F21" s="330">
        <f>IFERROR(Queso!$D21/Queso!$E21,"")</f>
        <v>8.9411764705882355</v>
      </c>
      <c r="G21" s="231"/>
      <c r="H21" s="314"/>
      <c r="I21" s="315"/>
    </row>
    <row r="22" spans="1:9" x14ac:dyDescent="0.25">
      <c r="A22" s="337">
        <f>WEEKNUM(Queso!$B22)</f>
        <v>52</v>
      </c>
      <c r="B22" s="323">
        <f t="shared" si="0"/>
        <v>45284</v>
      </c>
      <c r="C22" s="323"/>
      <c r="D22" s="324">
        <v>38</v>
      </c>
      <c r="E22" s="325">
        <v>4.21</v>
      </c>
      <c r="F22" s="326">
        <f>IFERROR(Queso!$D22/Queso!$E22,"")</f>
        <v>9.026128266033254</v>
      </c>
      <c r="G22" s="231"/>
      <c r="H22" s="314"/>
      <c r="I22" s="315"/>
    </row>
    <row r="23" spans="1:9" x14ac:dyDescent="0.25">
      <c r="A23" s="337">
        <f>WEEKNUM(Queso!$B23)</f>
        <v>52</v>
      </c>
      <c r="B23" s="327">
        <f t="shared" si="0"/>
        <v>45285</v>
      </c>
      <c r="C23" s="327"/>
      <c r="D23" s="328">
        <v>40</v>
      </c>
      <c r="E23" s="329">
        <v>4.21</v>
      </c>
      <c r="F23" s="330">
        <f>IFERROR(Queso!$D23/Queso!$E23,"")</f>
        <v>9.5011876484560567</v>
      </c>
      <c r="G23" s="231"/>
      <c r="H23" s="314"/>
      <c r="I23" s="315"/>
    </row>
    <row r="24" spans="1:9" x14ac:dyDescent="0.25">
      <c r="A24" s="337">
        <f>WEEKNUM(Queso!$B24)</f>
        <v>52</v>
      </c>
      <c r="B24" s="323">
        <f t="shared" si="0"/>
        <v>45286</v>
      </c>
      <c r="C24" s="323"/>
      <c r="D24" s="324">
        <v>38</v>
      </c>
      <c r="E24" s="325">
        <v>4.5949999999999998</v>
      </c>
      <c r="F24" s="326">
        <f>IFERROR(Queso!$D24/Queso!$E24,"")</f>
        <v>8.2698585418933632</v>
      </c>
      <c r="G24" s="231"/>
      <c r="H24" s="314"/>
      <c r="I24" s="315"/>
    </row>
    <row r="25" spans="1:9" x14ac:dyDescent="0.25">
      <c r="A25" s="337">
        <f>WEEKNUM(Queso!$B25)</f>
        <v>52</v>
      </c>
      <c r="B25" s="327">
        <f t="shared" si="0"/>
        <v>45287</v>
      </c>
      <c r="C25" s="327"/>
      <c r="D25" s="328">
        <v>40</v>
      </c>
      <c r="E25" s="329">
        <v>4.5750000000000002</v>
      </c>
      <c r="F25" s="330">
        <f>IFERROR(Queso!$D25/Queso!$E25,"")</f>
        <v>8.7431693989071029</v>
      </c>
      <c r="G25" s="231"/>
      <c r="H25" s="314"/>
      <c r="I25" s="315"/>
    </row>
    <row r="26" spans="1:9" x14ac:dyDescent="0.25">
      <c r="A26" s="337">
        <f>WEEKNUM(Queso!$B26)</f>
        <v>52</v>
      </c>
      <c r="B26" s="323">
        <f t="shared" si="0"/>
        <v>45288</v>
      </c>
      <c r="C26" s="323"/>
      <c r="D26" s="324">
        <v>39</v>
      </c>
      <c r="E26" s="325">
        <v>4.5599999999999996</v>
      </c>
      <c r="F26" s="326">
        <f>IFERROR(Queso!$D26/Queso!$E26,"")</f>
        <v>8.5526315789473699</v>
      </c>
      <c r="G26" s="231"/>
      <c r="H26" s="314"/>
      <c r="I26" s="315"/>
    </row>
    <row r="27" spans="1:9" x14ac:dyDescent="0.25">
      <c r="A27" s="337">
        <f>WEEKNUM(Queso!$B27)</f>
        <v>52</v>
      </c>
      <c r="B27" s="327">
        <f t="shared" si="0"/>
        <v>45289</v>
      </c>
      <c r="C27" s="327"/>
      <c r="D27" s="328">
        <v>36</v>
      </c>
      <c r="E27" s="329">
        <v>4.5949999999999998</v>
      </c>
      <c r="F27" s="330">
        <f>IFERROR(Queso!$D27/Queso!$E27,"")</f>
        <v>7.834602829162133</v>
      </c>
      <c r="G27" s="231"/>
      <c r="H27" s="314"/>
      <c r="I27" s="315"/>
    </row>
    <row r="28" spans="1:9" x14ac:dyDescent="0.25">
      <c r="A28" s="337">
        <f>WEEKNUM(Queso!$B28)</f>
        <v>52</v>
      </c>
      <c r="B28" s="323">
        <f t="shared" si="0"/>
        <v>45290</v>
      </c>
      <c r="C28" s="323"/>
      <c r="D28" s="324">
        <v>40</v>
      </c>
      <c r="E28" s="325">
        <v>4.34</v>
      </c>
      <c r="F28" s="326">
        <f>IFERROR(Queso!$D28/Queso!$E28,"")</f>
        <v>9.216589861751153</v>
      </c>
      <c r="G28" s="231" t="s">
        <v>507</v>
      </c>
      <c r="H28" s="40">
        <v>3.7</v>
      </c>
      <c r="I28" s="305">
        <f>H28*Queso!$E28</f>
        <v>16.058</v>
      </c>
    </row>
    <row r="29" spans="1:9" x14ac:dyDescent="0.25">
      <c r="A29" s="337">
        <f>WEEKNUM(Queso!$B29)</f>
        <v>53</v>
      </c>
      <c r="B29" s="327">
        <f t="shared" si="0"/>
        <v>45291</v>
      </c>
      <c r="C29" s="327"/>
      <c r="D29" s="328">
        <v>39</v>
      </c>
      <c r="E29" s="329">
        <v>4.84</v>
      </c>
      <c r="F29" s="330">
        <f>IFERROR(Queso!$D29/Queso!$E29,"")</f>
        <v>8.0578512396694215</v>
      </c>
      <c r="G29" s="231" t="s">
        <v>507</v>
      </c>
      <c r="H29" s="40">
        <v>3.7</v>
      </c>
      <c r="I29" s="305">
        <f>H29*Queso!$E29</f>
        <v>17.908000000000001</v>
      </c>
    </row>
    <row r="30" spans="1:9" x14ac:dyDescent="0.25">
      <c r="A30" s="337">
        <f>WEEKNUM(Queso!$B30)</f>
        <v>1</v>
      </c>
      <c r="B30" s="323">
        <f t="shared" si="0"/>
        <v>45292</v>
      </c>
      <c r="C30" s="323"/>
      <c r="D30" s="324">
        <v>43</v>
      </c>
      <c r="E30" s="325">
        <v>4.8250000000000002</v>
      </c>
      <c r="F30" s="326">
        <f>IFERROR(Queso!$D30/Queso!$E30,"")</f>
        <v>8.9119170984455955</v>
      </c>
      <c r="G30" s="231" t="s">
        <v>508</v>
      </c>
      <c r="H30" s="40">
        <v>4.2</v>
      </c>
      <c r="I30" s="305">
        <f>H30*Queso!$E30</f>
        <v>20.265000000000001</v>
      </c>
    </row>
    <row r="31" spans="1:9" x14ac:dyDescent="0.25">
      <c r="A31" s="337">
        <f>WEEKNUM(Queso!$B31)</f>
        <v>1</v>
      </c>
      <c r="B31" s="327">
        <f t="shared" si="0"/>
        <v>45293</v>
      </c>
      <c r="C31" s="327"/>
      <c r="D31" s="328">
        <v>40</v>
      </c>
      <c r="E31" s="329">
        <v>4.7050000000000001</v>
      </c>
      <c r="F31" s="330">
        <f>IFERROR(Queso!$D31/Queso!$E31,"")</f>
        <v>8.501594048884165</v>
      </c>
      <c r="G31" s="231" t="s">
        <v>508</v>
      </c>
      <c r="H31" s="40">
        <v>4.2</v>
      </c>
      <c r="I31" s="305">
        <f>H31*Queso!$E31</f>
        <v>19.761000000000003</v>
      </c>
    </row>
    <row r="32" spans="1:9" x14ac:dyDescent="0.25">
      <c r="A32" s="337">
        <f>WEEKNUM(Queso!$B32)</f>
        <v>1</v>
      </c>
      <c r="B32" s="323">
        <f t="shared" si="0"/>
        <v>45294</v>
      </c>
      <c r="C32" s="323"/>
      <c r="D32" s="324">
        <v>40</v>
      </c>
      <c r="E32" s="325">
        <v>4.8449999999999998</v>
      </c>
      <c r="F32" s="326">
        <f>IFERROR(Queso!$D32/Queso!$E32,"")</f>
        <v>8.2559339525283804</v>
      </c>
      <c r="G32" s="231" t="s">
        <v>507</v>
      </c>
      <c r="H32" s="40">
        <v>3.7</v>
      </c>
      <c r="I32" s="305">
        <f>H32*Queso!$E32</f>
        <v>17.926500000000001</v>
      </c>
    </row>
    <row r="33" spans="1:11" x14ac:dyDescent="0.25">
      <c r="A33" s="337">
        <f>WEEKNUM(Queso!$B33)</f>
        <v>1</v>
      </c>
      <c r="B33" s="327">
        <f t="shared" si="0"/>
        <v>45295</v>
      </c>
      <c r="C33" s="327"/>
      <c r="D33" s="328">
        <v>42</v>
      </c>
      <c r="E33" s="329">
        <v>5.0999999999999996</v>
      </c>
      <c r="F33" s="330">
        <f>IFERROR(Queso!$D33/Queso!$E33,"")</f>
        <v>8.2352941176470598</v>
      </c>
      <c r="G33" s="231" t="s">
        <v>507</v>
      </c>
      <c r="H33" s="40">
        <v>3.7</v>
      </c>
      <c r="I33" s="305">
        <f>H33*Queso!$E33</f>
        <v>18.87</v>
      </c>
    </row>
    <row r="34" spans="1:11" x14ac:dyDescent="0.25">
      <c r="A34" s="337">
        <f>WEEKNUM(Queso!$B34)</f>
        <v>1</v>
      </c>
      <c r="B34" s="323">
        <f t="shared" si="0"/>
        <v>45296</v>
      </c>
      <c r="C34" s="323"/>
      <c r="D34" s="324">
        <v>43</v>
      </c>
      <c r="E34" s="325">
        <v>5.415</v>
      </c>
      <c r="F34" s="326">
        <f>IFERROR(Queso!$D34/Queso!$E34,"")</f>
        <v>7.9409048938134807</v>
      </c>
      <c r="G34" s="231" t="s">
        <v>506</v>
      </c>
      <c r="H34" s="40">
        <v>4.5</v>
      </c>
      <c r="I34" s="305">
        <f>H34*Queso!$E34</f>
        <v>24.3675</v>
      </c>
    </row>
    <row r="35" spans="1:11" x14ac:dyDescent="0.25">
      <c r="A35" s="337">
        <f>WEEKNUM(Queso!$B35)</f>
        <v>1</v>
      </c>
      <c r="B35" s="327">
        <f t="shared" si="0"/>
        <v>45297</v>
      </c>
      <c r="C35" s="327"/>
      <c r="D35" s="328">
        <v>43</v>
      </c>
      <c r="E35" s="329">
        <v>5.5449999999999999</v>
      </c>
      <c r="F35" s="330">
        <f>IFERROR(Queso!$D35/Queso!$E35,"")</f>
        <v>7.7547339945897207</v>
      </c>
      <c r="G35" s="231" t="s">
        <v>506</v>
      </c>
      <c r="H35" s="40">
        <v>4.5</v>
      </c>
      <c r="I35" s="305">
        <f>H35*Queso!$E35</f>
        <v>24.952500000000001</v>
      </c>
    </row>
    <row r="36" spans="1:11" x14ac:dyDescent="0.25">
      <c r="A36" s="337">
        <f>WEEKNUM(Queso!$B36)</f>
        <v>2</v>
      </c>
      <c r="B36" s="323">
        <f t="shared" si="0"/>
        <v>45298</v>
      </c>
      <c r="C36" s="323"/>
      <c r="D36" s="324">
        <v>43</v>
      </c>
      <c r="E36" s="325">
        <v>5.26</v>
      </c>
      <c r="F36" s="326">
        <f>IFERROR(Queso!$D36/Queso!$E36,"")</f>
        <v>8.1749049429657799</v>
      </c>
      <c r="G36" s="231" t="s">
        <v>508</v>
      </c>
      <c r="H36" s="40">
        <v>4.2</v>
      </c>
      <c r="I36" s="305">
        <f>H36*Queso!$E36</f>
        <v>22.091999999999999</v>
      </c>
    </row>
    <row r="37" spans="1:11" x14ac:dyDescent="0.25">
      <c r="A37" s="337">
        <f>WEEKNUM(Queso!$B37)</f>
        <v>2</v>
      </c>
      <c r="B37" s="327">
        <f t="shared" si="0"/>
        <v>45299</v>
      </c>
      <c r="C37" s="327"/>
      <c r="D37" s="328">
        <v>43</v>
      </c>
      <c r="E37" s="329">
        <v>5.26</v>
      </c>
      <c r="F37" s="330">
        <f>IFERROR(Queso!$D37/Queso!$E37,"")</f>
        <v>8.1749049429657799</v>
      </c>
      <c r="G37" s="231" t="s">
        <v>508</v>
      </c>
      <c r="H37" s="40">
        <v>4.2</v>
      </c>
      <c r="I37" s="305">
        <f>H37*Queso!$E37</f>
        <v>22.091999999999999</v>
      </c>
    </row>
    <row r="38" spans="1:11" x14ac:dyDescent="0.25">
      <c r="A38" s="337">
        <f>WEEKNUM(Queso!$B38)</f>
        <v>2</v>
      </c>
      <c r="B38" s="323">
        <f t="shared" si="0"/>
        <v>45300</v>
      </c>
      <c r="C38" s="323"/>
      <c r="D38" s="324">
        <v>52</v>
      </c>
      <c r="E38" s="325">
        <v>6.48</v>
      </c>
      <c r="F38" s="326">
        <f>IFERROR(Queso!$D38/Queso!$E38,"")</f>
        <v>8.0246913580246915</v>
      </c>
      <c r="G38" s="231" t="s">
        <v>508</v>
      </c>
      <c r="H38" s="40">
        <v>4.2</v>
      </c>
      <c r="I38" s="305">
        <f>H38*Queso!$E38</f>
        <v>27.216000000000005</v>
      </c>
    </row>
    <row r="39" spans="1:11" x14ac:dyDescent="0.25">
      <c r="A39" s="337">
        <f>WEEKNUM(Queso!$B39)</f>
        <v>2</v>
      </c>
      <c r="B39" s="327">
        <f t="shared" si="0"/>
        <v>45301</v>
      </c>
      <c r="C39" s="327"/>
      <c r="D39" s="328">
        <v>52</v>
      </c>
      <c r="E39" s="329">
        <v>6.32</v>
      </c>
      <c r="F39" s="330">
        <f>IFERROR(Queso!$D39/Queso!$E39,"")</f>
        <v>8.2278481012658222</v>
      </c>
      <c r="G39" s="231" t="s">
        <v>506</v>
      </c>
      <c r="H39" s="40">
        <v>4.5</v>
      </c>
      <c r="I39" s="305">
        <f>H39*Queso!$E39</f>
        <v>28.44</v>
      </c>
      <c r="K39" s="100"/>
    </row>
    <row r="40" spans="1:11" x14ac:dyDescent="0.25">
      <c r="A40" s="337">
        <f>WEEKNUM(Queso!$B40)</f>
        <v>2</v>
      </c>
      <c r="B40" s="323">
        <f t="shared" si="0"/>
        <v>45302</v>
      </c>
      <c r="C40" s="323"/>
      <c r="D40" s="324">
        <v>52</v>
      </c>
      <c r="E40" s="325">
        <v>6.68</v>
      </c>
      <c r="F40" s="326">
        <f>IFERROR(Queso!$D40/Queso!$E40,"")</f>
        <v>7.7844311377245514</v>
      </c>
      <c r="G40" s="231" t="s">
        <v>508</v>
      </c>
      <c r="H40" s="40">
        <v>4.2</v>
      </c>
      <c r="I40" s="305">
        <f>H40*Queso!$E40</f>
        <v>28.056000000000001</v>
      </c>
    </row>
    <row r="41" spans="1:11" x14ac:dyDescent="0.25">
      <c r="A41" s="337">
        <f>WEEKNUM(Queso!$B41)</f>
        <v>2</v>
      </c>
      <c r="B41" s="327">
        <f t="shared" si="0"/>
        <v>45303</v>
      </c>
      <c r="C41" s="327"/>
      <c r="D41" s="328">
        <v>52</v>
      </c>
      <c r="E41" s="329">
        <v>6.18</v>
      </c>
      <c r="F41" s="330">
        <f>IFERROR(Queso!$D41/Queso!$E41,"")</f>
        <v>8.4142394822006477</v>
      </c>
      <c r="G41" s="231" t="s">
        <v>508</v>
      </c>
      <c r="H41" s="40">
        <v>4.2</v>
      </c>
      <c r="I41" s="305">
        <f>H41*Queso!$E41</f>
        <v>25.956</v>
      </c>
    </row>
    <row r="42" spans="1:11" x14ac:dyDescent="0.25">
      <c r="A42" s="337">
        <f>WEEKNUM(Queso!$B42)</f>
        <v>2</v>
      </c>
      <c r="B42" s="323">
        <f t="shared" si="0"/>
        <v>45304</v>
      </c>
      <c r="C42" s="323"/>
      <c r="D42" s="324">
        <v>54</v>
      </c>
      <c r="E42" s="325">
        <v>6.4</v>
      </c>
      <c r="F42" s="326">
        <f>IFERROR(Queso!$D42/Queso!$E42,"")</f>
        <v>8.4375</v>
      </c>
      <c r="G42" s="231" t="s">
        <v>507</v>
      </c>
      <c r="H42" s="40">
        <v>3.7</v>
      </c>
      <c r="I42" s="305">
        <f>H42*Queso!$E42</f>
        <v>23.680000000000003</v>
      </c>
    </row>
    <row r="43" spans="1:11" x14ac:dyDescent="0.25">
      <c r="A43" s="337">
        <f>WEEKNUM(Queso!$B43)</f>
        <v>3</v>
      </c>
      <c r="B43" s="327">
        <f t="shared" si="0"/>
        <v>45305</v>
      </c>
      <c r="C43" s="327"/>
      <c r="D43" s="328">
        <v>46</v>
      </c>
      <c r="E43" s="329">
        <v>5.57</v>
      </c>
      <c r="F43" s="330">
        <f>IFERROR(Queso!$D43/Queso!$E43,"")</f>
        <v>8.2585278276481144</v>
      </c>
      <c r="G43" s="231" t="s">
        <v>507</v>
      </c>
      <c r="H43" s="40">
        <v>3.7</v>
      </c>
      <c r="I43" s="305">
        <f>H43*Queso!$E43</f>
        <v>20.609000000000002</v>
      </c>
    </row>
    <row r="44" spans="1:11" x14ac:dyDescent="0.25">
      <c r="A44" s="337">
        <f>WEEKNUM(Queso!$B44)</f>
        <v>3</v>
      </c>
      <c r="B44" s="323">
        <f t="shared" si="0"/>
        <v>45306</v>
      </c>
      <c r="C44" s="323"/>
      <c r="D44" s="324">
        <v>46</v>
      </c>
      <c r="E44" s="325">
        <v>5.38</v>
      </c>
      <c r="F44" s="326">
        <f>IFERROR(Queso!$D44/Queso!$E44,"")</f>
        <v>8.5501858736059475</v>
      </c>
      <c r="G44" s="231" t="s">
        <v>508</v>
      </c>
      <c r="H44" s="40">
        <v>4.2</v>
      </c>
      <c r="I44" s="305">
        <f>H44*Queso!$E44</f>
        <v>22.596</v>
      </c>
    </row>
    <row r="45" spans="1:11" x14ac:dyDescent="0.25">
      <c r="A45" s="337">
        <f>WEEKNUM(Queso!$B45)</f>
        <v>3</v>
      </c>
      <c r="B45" s="327">
        <f t="shared" si="0"/>
        <v>45307</v>
      </c>
      <c r="C45" s="327"/>
      <c r="D45" s="328">
        <v>52</v>
      </c>
      <c r="E45" s="329">
        <v>6.04</v>
      </c>
      <c r="F45" s="330">
        <f>IFERROR(Queso!$D45/Queso!$E45,"")</f>
        <v>8.6092715231788084</v>
      </c>
      <c r="G45" s="231" t="s">
        <v>510</v>
      </c>
      <c r="H45" s="40">
        <v>4</v>
      </c>
      <c r="I45" s="305">
        <f>H45*Queso!$E45</f>
        <v>24.16</v>
      </c>
    </row>
    <row r="46" spans="1:11" x14ac:dyDescent="0.25">
      <c r="A46" s="337">
        <f>WEEKNUM(Queso!$B46)</f>
        <v>3</v>
      </c>
      <c r="B46" s="323">
        <f t="shared" si="0"/>
        <v>45308</v>
      </c>
      <c r="C46" s="323"/>
      <c r="D46" s="324">
        <v>52</v>
      </c>
      <c r="E46" s="325">
        <v>6.3150000000000004</v>
      </c>
      <c r="F46" s="326">
        <f>IFERROR(Queso!$D46/Queso!$E46,"")</f>
        <v>8.2343626286619163</v>
      </c>
      <c r="G46" s="231" t="s">
        <v>506</v>
      </c>
      <c r="H46" s="40">
        <v>4.5</v>
      </c>
      <c r="I46" s="305">
        <f>H46*Queso!$E46</f>
        <v>28.4175</v>
      </c>
      <c r="K46" s="100"/>
    </row>
    <row r="47" spans="1:11" x14ac:dyDescent="0.25">
      <c r="A47" s="337">
        <f>WEEKNUM(Queso!$B47)</f>
        <v>3</v>
      </c>
      <c r="B47" s="327">
        <f t="shared" si="0"/>
        <v>45309</v>
      </c>
      <c r="C47" s="327"/>
      <c r="D47" s="328">
        <v>52</v>
      </c>
      <c r="E47" s="329">
        <v>6.04</v>
      </c>
      <c r="F47" s="330">
        <f>IFERROR(Queso!$D47/Queso!$E47,"")</f>
        <v>8.6092715231788084</v>
      </c>
      <c r="G47" s="231" t="s">
        <v>507</v>
      </c>
      <c r="H47" s="40">
        <v>3.7</v>
      </c>
      <c r="I47" s="305">
        <f>H47*Queso!$E47</f>
        <v>22.348000000000003</v>
      </c>
    </row>
    <row r="48" spans="1:11" x14ac:dyDescent="0.25">
      <c r="A48" s="337">
        <f>WEEKNUM(Queso!$B48)</f>
        <v>3</v>
      </c>
      <c r="B48" s="323">
        <f t="shared" si="0"/>
        <v>45310</v>
      </c>
      <c r="C48" s="323"/>
      <c r="D48" s="324">
        <v>47</v>
      </c>
      <c r="E48" s="325">
        <v>5.8</v>
      </c>
      <c r="F48" s="326">
        <f>IFERROR(Queso!$D48/Queso!$E48,"")</f>
        <v>8.1034482758620694</v>
      </c>
      <c r="G48" s="231" t="s">
        <v>507</v>
      </c>
      <c r="H48" s="40">
        <v>3.7</v>
      </c>
      <c r="I48" s="305">
        <f>H48*Queso!$E48</f>
        <v>21.46</v>
      </c>
    </row>
    <row r="49" spans="1:13" x14ac:dyDescent="0.25">
      <c r="A49" s="337">
        <f>WEEKNUM(Queso!$B49)</f>
        <v>3</v>
      </c>
      <c r="B49" s="327">
        <f t="shared" si="0"/>
        <v>45311</v>
      </c>
      <c r="C49" s="327"/>
      <c r="D49" s="328">
        <v>53</v>
      </c>
      <c r="E49" s="329">
        <v>6.13</v>
      </c>
      <c r="F49" s="330">
        <f>IFERROR(Queso!$D49/Queso!$E49,"")</f>
        <v>8.6460032626427399</v>
      </c>
      <c r="G49" s="231" t="s">
        <v>508</v>
      </c>
      <c r="H49" s="40">
        <v>4.2</v>
      </c>
      <c r="I49" s="305">
        <f>H49*Queso!$E49</f>
        <v>25.746000000000002</v>
      </c>
    </row>
    <row r="50" spans="1:13" x14ac:dyDescent="0.25">
      <c r="A50" s="337">
        <f>WEEKNUM(Queso!$B50)</f>
        <v>4</v>
      </c>
      <c r="B50" s="323">
        <f t="shared" si="0"/>
        <v>45312</v>
      </c>
      <c r="C50" s="323"/>
      <c r="D50" s="324">
        <v>55</v>
      </c>
      <c r="E50" s="325">
        <v>6.57</v>
      </c>
      <c r="F50" s="326">
        <f>IFERROR(Queso!$D50/Queso!$E50,"")</f>
        <v>8.3713850837138502</v>
      </c>
      <c r="G50" s="231" t="s">
        <v>506</v>
      </c>
      <c r="H50" s="40">
        <v>4.5</v>
      </c>
      <c r="I50" s="305">
        <f>H50*Queso!$E50</f>
        <v>29.565000000000001</v>
      </c>
      <c r="K50" s="100"/>
    </row>
    <row r="51" spans="1:13" x14ac:dyDescent="0.25">
      <c r="A51" s="337">
        <f>WEEKNUM(Queso!$B51)</f>
        <v>4</v>
      </c>
      <c r="B51" s="327">
        <f t="shared" si="0"/>
        <v>45313</v>
      </c>
      <c r="C51" s="327"/>
      <c r="D51" s="328">
        <v>54</v>
      </c>
      <c r="E51" s="329">
        <v>6.32</v>
      </c>
      <c r="F51" s="330">
        <f>IFERROR(Queso!$D51/Queso!$E51,"")</f>
        <v>8.5443037974683538</v>
      </c>
      <c r="G51" s="231" t="s">
        <v>516</v>
      </c>
      <c r="H51" s="40">
        <v>4.2</v>
      </c>
      <c r="I51" s="305">
        <f>H51*Queso!$E51</f>
        <v>26.544000000000004</v>
      </c>
    </row>
    <row r="52" spans="1:13" x14ac:dyDescent="0.25">
      <c r="A52" s="337">
        <f>WEEKNUM(Queso!$B52)</f>
        <v>4</v>
      </c>
      <c r="B52" s="323">
        <f t="shared" si="0"/>
        <v>45314</v>
      </c>
      <c r="C52" s="323"/>
      <c r="D52" s="324">
        <v>53</v>
      </c>
      <c r="E52" s="325">
        <v>6.13</v>
      </c>
      <c r="F52" s="326">
        <f>IFERROR(Queso!$D52/Queso!$E52,"")</f>
        <v>8.6460032626427399</v>
      </c>
      <c r="G52" s="231" t="s">
        <v>508</v>
      </c>
      <c r="H52" s="40">
        <v>4.2</v>
      </c>
      <c r="I52" s="305">
        <f>H52*Queso!$E52</f>
        <v>25.746000000000002</v>
      </c>
    </row>
    <row r="53" spans="1:13" ht="17.25" customHeight="1" x14ac:dyDescent="0.25">
      <c r="A53" s="337">
        <f>WEEKNUM(Queso!$B53)</f>
        <v>4</v>
      </c>
      <c r="B53" s="327">
        <f t="shared" si="0"/>
        <v>45315</v>
      </c>
      <c r="C53" s="327"/>
      <c r="D53" s="328">
        <v>54</v>
      </c>
      <c r="E53" s="329">
        <v>6.41</v>
      </c>
      <c r="F53" s="330">
        <f>IFERROR(Queso!$D53/Queso!$E53,"")</f>
        <v>8.4243369734789386</v>
      </c>
      <c r="G53" s="231" t="s">
        <v>507</v>
      </c>
      <c r="H53" s="40">
        <v>3.7</v>
      </c>
      <c r="I53" s="305">
        <f>H53*Queso!$E53</f>
        <v>23.717000000000002</v>
      </c>
      <c r="K53" s="276" t="s">
        <v>226</v>
      </c>
      <c r="L53" s="276"/>
      <c r="M53" s="276"/>
    </row>
    <row r="54" spans="1:13" ht="15" customHeight="1" x14ac:dyDescent="0.25">
      <c r="A54" s="337">
        <f>WEEKNUM(Queso!$B54)</f>
        <v>4</v>
      </c>
      <c r="B54" s="323">
        <f t="shared" si="0"/>
        <v>45316</v>
      </c>
      <c r="C54" s="323"/>
      <c r="D54" s="324">
        <v>54</v>
      </c>
      <c r="E54" s="325">
        <v>6.43</v>
      </c>
      <c r="F54" s="326">
        <f>IFERROR(Queso!$D54/Queso!$E54,"")</f>
        <v>8.3981337480559883</v>
      </c>
      <c r="G54" s="231" t="s">
        <v>507</v>
      </c>
      <c r="H54" s="40">
        <v>3.7</v>
      </c>
      <c r="I54" s="305">
        <f>H54*Queso!$E54</f>
        <v>23.791</v>
      </c>
      <c r="K54" s="294">
        <v>20</v>
      </c>
      <c r="L54" s="276" t="s">
        <v>525</v>
      </c>
      <c r="M54" s="276"/>
    </row>
    <row r="55" spans="1:13" ht="15" customHeight="1" x14ac:dyDescent="0.25">
      <c r="A55" s="337">
        <f>WEEKNUM(Queso!$B55)</f>
        <v>4</v>
      </c>
      <c r="B55" s="327">
        <f t="shared" si="0"/>
        <v>45317</v>
      </c>
      <c r="C55" s="327"/>
      <c r="D55" s="328">
        <v>48</v>
      </c>
      <c r="E55" s="329">
        <v>5.6749999999999998</v>
      </c>
      <c r="F55" s="330">
        <f>IFERROR(Queso!$D55/Queso!$E55,"")</f>
        <v>8.4581497797356828</v>
      </c>
      <c r="G55" s="231" t="s">
        <v>506</v>
      </c>
      <c r="H55" s="40">
        <v>4.5</v>
      </c>
      <c r="I55" s="305">
        <f>H55*Queso!$E55</f>
        <v>25.537499999999998</v>
      </c>
      <c r="K55" s="294">
        <v>90</v>
      </c>
      <c r="L55" s="276" t="s">
        <v>526</v>
      </c>
      <c r="M55" s="276"/>
    </row>
    <row r="56" spans="1:13" ht="15.75" x14ac:dyDescent="0.25">
      <c r="A56" s="337">
        <f>WEEKNUM(Queso!$B56)</f>
        <v>4</v>
      </c>
      <c r="B56" s="323">
        <f t="shared" si="0"/>
        <v>45318</v>
      </c>
      <c r="C56" s="323"/>
      <c r="D56" s="324">
        <v>48</v>
      </c>
      <c r="E56" s="325">
        <v>6.32</v>
      </c>
      <c r="F56" s="326">
        <f>IFERROR(Queso!$D56/Queso!$E56,"")</f>
        <v>7.5949367088607591</v>
      </c>
      <c r="G56" s="231" t="s">
        <v>508</v>
      </c>
      <c r="H56" s="40">
        <v>4.5</v>
      </c>
      <c r="I56" s="305">
        <f>H56*Queso!$E56</f>
        <v>28.44</v>
      </c>
      <c r="K56" s="294">
        <f>49.46</f>
        <v>49.46</v>
      </c>
      <c r="L56" s="276" t="s">
        <v>520</v>
      </c>
      <c r="M56" s="276"/>
    </row>
    <row r="57" spans="1:13" ht="18" customHeight="1" x14ac:dyDescent="0.25">
      <c r="A57" s="337">
        <f>WEEKNUM(Queso!$B57)</f>
        <v>5</v>
      </c>
      <c r="B57" s="327">
        <f t="shared" si="0"/>
        <v>45319</v>
      </c>
      <c r="C57" s="327"/>
      <c r="D57" s="328">
        <v>53</v>
      </c>
      <c r="E57" s="329">
        <v>6.2249999999999996</v>
      </c>
      <c r="F57" s="330">
        <f>IFERROR(Queso!$D57/Queso!$E57,"")</f>
        <v>8.5140562248995995</v>
      </c>
      <c r="G57" s="231" t="s">
        <v>508</v>
      </c>
      <c r="H57" s="40">
        <v>4.5</v>
      </c>
      <c r="I57" s="305">
        <f>H57*Queso!$E57</f>
        <v>28.012499999999999</v>
      </c>
      <c r="K57" s="294">
        <f>SUM(K54:K56)</f>
        <v>159.46</v>
      </c>
      <c r="L57" s="276"/>
      <c r="M57" s="276"/>
    </row>
    <row r="58" spans="1:13" x14ac:dyDescent="0.25">
      <c r="A58" s="337">
        <f>WEEKNUM(Queso!$B58)</f>
        <v>5</v>
      </c>
      <c r="B58" s="323">
        <f t="shared" si="0"/>
        <v>45320</v>
      </c>
      <c r="C58" s="323"/>
      <c r="D58" s="324">
        <v>48</v>
      </c>
      <c r="E58" s="325">
        <v>5.125</v>
      </c>
      <c r="F58" s="326">
        <f>IFERROR(Queso!$D58/Queso!$E58,"")</f>
        <v>9.3658536585365848</v>
      </c>
      <c r="G58" s="231" t="s">
        <v>508</v>
      </c>
      <c r="H58" s="40">
        <v>4.5</v>
      </c>
      <c r="I58" s="305">
        <f>H58*Queso!$E58</f>
        <v>23.0625</v>
      </c>
    </row>
    <row r="59" spans="1:13" x14ac:dyDescent="0.25">
      <c r="A59" s="337">
        <f>WEEKNUM(Queso!$B59)</f>
        <v>5</v>
      </c>
      <c r="B59" s="327">
        <f t="shared" si="0"/>
        <v>45321</v>
      </c>
      <c r="C59" s="327"/>
      <c r="D59" s="328">
        <v>54</v>
      </c>
      <c r="E59" s="329">
        <v>5.835</v>
      </c>
      <c r="F59" s="330">
        <f>IFERROR(Queso!$D59/Queso!$E59,"")</f>
        <v>9.2544987146529571</v>
      </c>
      <c r="G59" s="231" t="s">
        <v>508</v>
      </c>
      <c r="H59" s="40">
        <v>4.5</v>
      </c>
      <c r="I59" s="305">
        <f>H59*Queso!$E59</f>
        <v>26.2575</v>
      </c>
    </row>
    <row r="60" spans="1:13" x14ac:dyDescent="0.25">
      <c r="A60" s="337">
        <f>WEEKNUM(Queso!$B60)</f>
        <v>5</v>
      </c>
      <c r="B60" s="323">
        <f t="shared" si="0"/>
        <v>45322</v>
      </c>
      <c r="C60" s="323"/>
      <c r="D60" s="324">
        <v>52</v>
      </c>
      <c r="E60" s="325">
        <v>6.0250000000000004</v>
      </c>
      <c r="F60" s="326">
        <f>IFERROR(Queso!$D60/Queso!$E60,"")</f>
        <v>8.6307053941908709</v>
      </c>
      <c r="G60" s="231" t="s">
        <v>508</v>
      </c>
      <c r="H60" s="40">
        <v>4.5</v>
      </c>
      <c r="I60" s="305">
        <f>H60*Queso!$E60</f>
        <v>27.112500000000001</v>
      </c>
    </row>
    <row r="61" spans="1:13" x14ac:dyDescent="0.25">
      <c r="A61" s="337">
        <f>WEEKNUM(Queso!$B61)</f>
        <v>5</v>
      </c>
      <c r="B61" s="327">
        <f t="shared" si="0"/>
        <v>45323</v>
      </c>
      <c r="C61" s="327"/>
      <c r="D61" s="328">
        <v>53</v>
      </c>
      <c r="E61" s="329">
        <v>5.8</v>
      </c>
      <c r="F61" s="330">
        <f>IFERROR(Queso!$D61/Queso!$E61,"")</f>
        <v>9.1379310344827598</v>
      </c>
      <c r="G61" s="231" t="s">
        <v>508</v>
      </c>
      <c r="H61" s="40">
        <v>4.5</v>
      </c>
      <c r="I61" s="305">
        <f>H61*Queso!$E61</f>
        <v>26.099999999999998</v>
      </c>
    </row>
    <row r="62" spans="1:13" x14ac:dyDescent="0.25">
      <c r="A62" s="337">
        <f>WEEKNUM(Queso!$B62)</f>
        <v>5</v>
      </c>
      <c r="B62" s="323">
        <f t="shared" si="0"/>
        <v>45324</v>
      </c>
      <c r="C62" s="323"/>
      <c r="D62" s="324">
        <v>50</v>
      </c>
      <c r="E62" s="325">
        <v>5.36</v>
      </c>
      <c r="F62" s="326">
        <f>IFERROR(Queso!$D62/Queso!$E62,"")</f>
        <v>9.3283582089552226</v>
      </c>
      <c r="G62" s="231" t="s">
        <v>507</v>
      </c>
      <c r="H62" s="40">
        <v>4</v>
      </c>
      <c r="I62" s="305">
        <f>H62*Queso!$E62</f>
        <v>21.44</v>
      </c>
    </row>
    <row r="63" spans="1:13" x14ac:dyDescent="0.25">
      <c r="A63" s="337">
        <f>WEEKNUM(Queso!$B63)</f>
        <v>5</v>
      </c>
      <c r="B63" s="327">
        <f t="shared" si="0"/>
        <v>45325</v>
      </c>
      <c r="C63" s="327"/>
      <c r="D63" s="328">
        <v>48</v>
      </c>
      <c r="E63" s="329">
        <f>4.92</f>
        <v>4.92</v>
      </c>
      <c r="F63" s="330">
        <f>IFERROR(Queso!$D63/Queso!$E63,"")</f>
        <v>9.7560975609756095</v>
      </c>
      <c r="G63" s="231" t="s">
        <v>507</v>
      </c>
      <c r="H63" s="40">
        <v>4</v>
      </c>
      <c r="I63" s="305">
        <f>H63*Queso!$E63</f>
        <v>19.68</v>
      </c>
    </row>
    <row r="64" spans="1:13" x14ac:dyDescent="0.25">
      <c r="A64" s="337">
        <f>WEEKNUM(Queso!$B64)</f>
        <v>6</v>
      </c>
      <c r="B64" s="323">
        <f t="shared" si="0"/>
        <v>45326</v>
      </c>
      <c r="C64" s="323"/>
      <c r="D64" s="324">
        <v>52</v>
      </c>
      <c r="E64" s="325">
        <v>6.31</v>
      </c>
      <c r="F64" s="326">
        <f>IFERROR(Queso!$D64/Queso!$E64,"")</f>
        <v>8.2408874801901746</v>
      </c>
      <c r="G64" s="231" t="s">
        <v>63</v>
      </c>
      <c r="H64" s="40">
        <v>4.5</v>
      </c>
      <c r="I64" s="305">
        <f>H64*Queso!$E64</f>
        <v>28.395</v>
      </c>
    </row>
    <row r="65" spans="1:9" x14ac:dyDescent="0.25">
      <c r="A65" s="337">
        <f>WEEKNUM(Queso!$B65)</f>
        <v>6</v>
      </c>
      <c r="B65" s="327">
        <f t="shared" si="0"/>
        <v>45327</v>
      </c>
      <c r="C65" s="327"/>
      <c r="D65" s="328">
        <v>50</v>
      </c>
      <c r="E65" s="329">
        <v>5.52</v>
      </c>
      <c r="F65" s="330">
        <f>IFERROR(Queso!$D65/Queso!$E65,"")</f>
        <v>9.0579710144927539</v>
      </c>
      <c r="G65" s="231" t="s">
        <v>507</v>
      </c>
      <c r="H65" s="40">
        <v>4.8</v>
      </c>
      <c r="I65" s="305">
        <f>H65*Queso!$E65</f>
        <v>26.495999999999999</v>
      </c>
    </row>
    <row r="66" spans="1:9" x14ac:dyDescent="0.25">
      <c r="A66" s="337">
        <f>WEEKNUM(Queso!$B66)</f>
        <v>6</v>
      </c>
      <c r="B66" s="323">
        <f t="shared" si="0"/>
        <v>45328</v>
      </c>
      <c r="C66" s="323"/>
      <c r="D66" s="324">
        <v>52</v>
      </c>
      <c r="E66" s="325">
        <v>5.53</v>
      </c>
      <c r="F66" s="326">
        <f>IFERROR(Queso!$D66/Queso!$E66,"")</f>
        <v>9.4032549728752262</v>
      </c>
      <c r="G66" s="231" t="s">
        <v>508</v>
      </c>
      <c r="H66" s="40">
        <v>4.8</v>
      </c>
      <c r="I66" s="305">
        <f>H66*Queso!$E66</f>
        <v>26.544</v>
      </c>
    </row>
    <row r="67" spans="1:9" x14ac:dyDescent="0.25">
      <c r="A67" s="337">
        <f>WEEKNUM(Queso!$B67)</f>
        <v>6</v>
      </c>
      <c r="B67" s="327">
        <f>B66+1</f>
        <v>45329</v>
      </c>
      <c r="C67" s="327"/>
      <c r="D67" s="328">
        <v>52</v>
      </c>
      <c r="E67" s="329">
        <v>6.05</v>
      </c>
      <c r="F67" s="330">
        <f>IFERROR(Queso!$D67/Queso!$E67,"")</f>
        <v>8.5950413223140494</v>
      </c>
      <c r="G67" s="231" t="s">
        <v>508</v>
      </c>
      <c r="H67" s="40">
        <v>4.8</v>
      </c>
      <c r="I67" s="305">
        <f>H67*Queso!$E67</f>
        <v>29.04</v>
      </c>
    </row>
    <row r="68" spans="1:9" x14ac:dyDescent="0.25">
      <c r="A68" s="337">
        <f>WEEKNUM(Queso!$B68)</f>
        <v>6</v>
      </c>
      <c r="B68" s="323">
        <f t="shared" si="0"/>
        <v>45330</v>
      </c>
      <c r="C68" s="323"/>
      <c r="D68" s="324">
        <v>53</v>
      </c>
      <c r="E68" s="325">
        <v>6.45</v>
      </c>
      <c r="F68" s="326">
        <f>IFERROR(Queso!$D68/Queso!$E68,"")</f>
        <v>8.2170542635658919</v>
      </c>
      <c r="G68" s="231" t="s">
        <v>63</v>
      </c>
      <c r="H68" s="40">
        <v>4.5</v>
      </c>
      <c r="I68" s="305">
        <f>H68*Queso!$E68</f>
        <v>29.025000000000002</v>
      </c>
    </row>
    <row r="69" spans="1:9" x14ac:dyDescent="0.25">
      <c r="A69" s="337">
        <f>WEEKNUM(Queso!$B69)</f>
        <v>6</v>
      </c>
      <c r="B69" s="327">
        <f t="shared" ref="B69:B132" si="1">B68+1</f>
        <v>45331</v>
      </c>
      <c r="C69" s="327"/>
      <c r="D69" s="328">
        <v>50</v>
      </c>
      <c r="E69" s="329">
        <v>6.1</v>
      </c>
      <c r="F69" s="330">
        <f>IFERROR(Queso!$D69/Queso!$E69,"")</f>
        <v>8.1967213114754109</v>
      </c>
      <c r="G69" s="231" t="s">
        <v>508</v>
      </c>
      <c r="H69" s="40">
        <v>4.8</v>
      </c>
      <c r="I69" s="305">
        <f>H69*Queso!$E69</f>
        <v>29.279999999999998</v>
      </c>
    </row>
    <row r="70" spans="1:9" x14ac:dyDescent="0.25">
      <c r="A70" s="337">
        <f>WEEKNUM(Queso!$B70)</f>
        <v>6</v>
      </c>
      <c r="B70" s="323">
        <f t="shared" si="1"/>
        <v>45332</v>
      </c>
      <c r="C70" s="323"/>
      <c r="D70" s="324">
        <v>52</v>
      </c>
      <c r="E70" s="325">
        <v>5.92</v>
      </c>
      <c r="F70" s="326">
        <f>IFERROR(Queso!$D70/Queso!$E70,"")</f>
        <v>8.7837837837837842</v>
      </c>
      <c r="G70" s="231" t="s">
        <v>507</v>
      </c>
      <c r="H70" s="40">
        <v>4</v>
      </c>
      <c r="I70" s="305">
        <f>H70*Queso!$E70</f>
        <v>23.68</v>
      </c>
    </row>
    <row r="71" spans="1:9" x14ac:dyDescent="0.25">
      <c r="A71" s="337">
        <f>WEEKNUM(Queso!$B71)</f>
        <v>7</v>
      </c>
      <c r="B71" s="327">
        <f t="shared" si="1"/>
        <v>45333</v>
      </c>
      <c r="C71" s="327"/>
      <c r="D71" s="328">
        <v>62</v>
      </c>
      <c r="E71" s="329">
        <v>6.7</v>
      </c>
      <c r="F71" s="330">
        <f>IFERROR(Queso!$D71/Queso!$E71,"")</f>
        <v>9.2537313432835813</v>
      </c>
      <c r="G71" s="231" t="s">
        <v>507</v>
      </c>
      <c r="H71" s="40">
        <v>4</v>
      </c>
      <c r="I71" s="305">
        <f>H71*Queso!$E71</f>
        <v>26.8</v>
      </c>
    </row>
    <row r="72" spans="1:9" x14ac:dyDescent="0.25">
      <c r="A72" s="337">
        <f>WEEKNUM(Queso!$B72)</f>
        <v>7</v>
      </c>
      <c r="B72" s="323">
        <f t="shared" si="1"/>
        <v>45334</v>
      </c>
      <c r="C72" s="323"/>
      <c r="D72" s="324">
        <v>55</v>
      </c>
      <c r="E72" s="325">
        <v>6.75</v>
      </c>
      <c r="F72" s="326">
        <f>IFERROR(Queso!$D72/Queso!$E72,"")</f>
        <v>8.1481481481481488</v>
      </c>
      <c r="G72" s="231" t="s">
        <v>508</v>
      </c>
      <c r="H72" s="40">
        <v>4.8</v>
      </c>
      <c r="I72" s="305">
        <f>H72*Queso!$E72</f>
        <v>32.4</v>
      </c>
    </row>
    <row r="73" spans="1:9" x14ac:dyDescent="0.25">
      <c r="A73" s="337">
        <f>WEEKNUM(Queso!$B73)</f>
        <v>7</v>
      </c>
      <c r="B73" s="327">
        <f t="shared" si="1"/>
        <v>45335</v>
      </c>
      <c r="C73" s="327"/>
      <c r="D73" s="328">
        <v>58</v>
      </c>
      <c r="E73" s="329">
        <v>6.55</v>
      </c>
      <c r="F73" s="330">
        <f>IFERROR(Queso!$D73/Queso!$E73,"")</f>
        <v>8.8549618320610683</v>
      </c>
      <c r="G73" s="231" t="s">
        <v>507</v>
      </c>
      <c r="H73" s="40">
        <v>4</v>
      </c>
      <c r="I73" s="305">
        <f>H73*Queso!$E73</f>
        <v>26.2</v>
      </c>
    </row>
    <row r="74" spans="1:9" x14ac:dyDescent="0.25">
      <c r="A74" s="337">
        <f>WEEKNUM(Queso!$B74)</f>
        <v>7</v>
      </c>
      <c r="B74" s="323">
        <f t="shared" si="1"/>
        <v>45336</v>
      </c>
      <c r="C74" s="323"/>
      <c r="D74" s="324">
        <v>60</v>
      </c>
      <c r="E74" s="325">
        <v>6.75</v>
      </c>
      <c r="F74" s="326">
        <f>IFERROR(Queso!$D74/Queso!$E74,"")</f>
        <v>8.8888888888888893</v>
      </c>
      <c r="G74" s="231" t="s">
        <v>508</v>
      </c>
      <c r="H74" s="40">
        <v>4.8</v>
      </c>
      <c r="I74" s="305">
        <f>H74*Queso!$E74</f>
        <v>32.4</v>
      </c>
    </row>
    <row r="75" spans="1:9" x14ac:dyDescent="0.25">
      <c r="A75" s="337">
        <f>WEEKNUM(Queso!$B75)</f>
        <v>7</v>
      </c>
      <c r="B75" s="327">
        <f t="shared" si="1"/>
        <v>45337</v>
      </c>
      <c r="C75" s="327"/>
      <c r="D75" s="328">
        <v>60</v>
      </c>
      <c r="E75" s="329">
        <v>7.4</v>
      </c>
      <c r="F75" s="330">
        <f>IFERROR(Queso!$D75/Queso!$E75,"")</f>
        <v>8.108108108108107</v>
      </c>
      <c r="G75" s="231" t="s">
        <v>224</v>
      </c>
      <c r="H75" s="40">
        <v>4.8</v>
      </c>
      <c r="I75" s="305">
        <f>H75*Queso!$E75</f>
        <v>35.520000000000003</v>
      </c>
    </row>
    <row r="76" spans="1:9" x14ac:dyDescent="0.25">
      <c r="A76" s="337">
        <f>WEEKNUM(Queso!$B76)</f>
        <v>7</v>
      </c>
      <c r="B76" s="323">
        <f t="shared" si="1"/>
        <v>45338</v>
      </c>
      <c r="C76" s="323"/>
      <c r="D76" s="324">
        <v>60</v>
      </c>
      <c r="E76" s="325">
        <v>6.3449999999999998</v>
      </c>
      <c r="F76" s="326">
        <f>IFERROR(Queso!$D76/Queso!$E76,"")</f>
        <v>9.4562647754137128</v>
      </c>
      <c r="G76" s="231" t="s">
        <v>508</v>
      </c>
      <c r="H76" s="40">
        <v>4.8</v>
      </c>
      <c r="I76" s="305">
        <f>H76*Queso!$E76</f>
        <v>30.455999999999996</v>
      </c>
    </row>
    <row r="77" spans="1:9" x14ac:dyDescent="0.25">
      <c r="A77" s="337">
        <f>WEEKNUM(Queso!$B77)</f>
        <v>7</v>
      </c>
      <c r="B77" s="327">
        <f t="shared" si="1"/>
        <v>45339</v>
      </c>
      <c r="C77" s="327"/>
      <c r="D77" s="328">
        <v>60</v>
      </c>
      <c r="E77" s="329">
        <v>7.3250000000000002</v>
      </c>
      <c r="F77" s="330">
        <f>IFERROR(Queso!$D77/Queso!$E77,"")</f>
        <v>8.1911262798634805</v>
      </c>
      <c r="G77" s="231" t="s">
        <v>63</v>
      </c>
      <c r="H77" s="40">
        <v>4.8</v>
      </c>
      <c r="I77" s="305">
        <f>H77*Queso!$E77</f>
        <v>35.159999999999997</v>
      </c>
    </row>
    <row r="78" spans="1:9" x14ac:dyDescent="0.25">
      <c r="A78" s="337">
        <f>WEEKNUM(Queso!$B78)</f>
        <v>8</v>
      </c>
      <c r="B78" s="323">
        <f t="shared" si="1"/>
        <v>45340</v>
      </c>
      <c r="C78" s="323"/>
      <c r="D78" s="324">
        <v>63</v>
      </c>
      <c r="E78" s="325">
        <v>6.3449999999999998</v>
      </c>
      <c r="F78" s="326">
        <f>IFERROR(Queso!$D78/Queso!$E78,"")</f>
        <v>9.9290780141843982</v>
      </c>
      <c r="G78" s="231" t="s">
        <v>508</v>
      </c>
      <c r="H78" s="40">
        <v>4.8</v>
      </c>
      <c r="I78" s="305">
        <f>H78*Queso!$E78</f>
        <v>30.455999999999996</v>
      </c>
    </row>
    <row r="79" spans="1:9" x14ac:dyDescent="0.25">
      <c r="A79" s="337">
        <f>WEEKNUM(Queso!$B79)</f>
        <v>8</v>
      </c>
      <c r="B79" s="327">
        <f t="shared" si="1"/>
        <v>45341</v>
      </c>
      <c r="C79" s="327"/>
      <c r="D79" s="328">
        <v>63</v>
      </c>
      <c r="E79" s="329">
        <v>7.48</v>
      </c>
      <c r="F79" s="330">
        <f>IFERROR(Queso!$D79/Queso!$E79,"")</f>
        <v>8.4224598930481278</v>
      </c>
      <c r="G79" s="231" t="s">
        <v>508</v>
      </c>
      <c r="H79" s="40">
        <v>4.8</v>
      </c>
      <c r="I79" s="305">
        <f>H79*Queso!$E79</f>
        <v>35.904000000000003</v>
      </c>
    </row>
    <row r="80" spans="1:9" x14ac:dyDescent="0.25">
      <c r="A80" s="337">
        <f>WEEKNUM(Queso!$B80)</f>
        <v>8</v>
      </c>
      <c r="B80" s="323">
        <f t="shared" si="1"/>
        <v>45342</v>
      </c>
      <c r="C80" s="324">
        <v>13</v>
      </c>
      <c r="D80" s="324">
        <v>67</v>
      </c>
      <c r="E80" s="325">
        <v>8.41</v>
      </c>
      <c r="F80" s="326">
        <f>IFERROR(Queso!$D80/Queso!$E80,"")</f>
        <v>7.9667063020214028</v>
      </c>
      <c r="G80" s="231" t="s">
        <v>516</v>
      </c>
      <c r="H80" s="40">
        <v>4.8</v>
      </c>
      <c r="I80" s="305">
        <f>H80*Queso!$E80</f>
        <v>40.368000000000002</v>
      </c>
    </row>
    <row r="81" spans="1:9" x14ac:dyDescent="0.25">
      <c r="A81" s="337">
        <f>WEEKNUM(Queso!$B81)</f>
        <v>8</v>
      </c>
      <c r="B81" s="327">
        <f t="shared" si="1"/>
        <v>45343</v>
      </c>
      <c r="C81" s="328">
        <v>13</v>
      </c>
      <c r="D81" s="328">
        <v>67</v>
      </c>
      <c r="E81" s="329">
        <v>8.6</v>
      </c>
      <c r="F81" s="330">
        <f>IFERROR(Queso!$D81/Queso!$E81,"")</f>
        <v>7.7906976744186052</v>
      </c>
      <c r="G81" s="231" t="s">
        <v>544</v>
      </c>
      <c r="H81" s="40">
        <v>5</v>
      </c>
      <c r="I81" s="305">
        <f>H81*Queso!$E81</f>
        <v>43</v>
      </c>
    </row>
    <row r="82" spans="1:9" x14ac:dyDescent="0.25">
      <c r="A82" s="337">
        <f>WEEKNUM(Queso!$B82)</f>
        <v>8</v>
      </c>
      <c r="B82" s="323">
        <f t="shared" si="1"/>
        <v>45344</v>
      </c>
      <c r="C82" s="324">
        <v>13</v>
      </c>
      <c r="D82" s="324">
        <v>71</v>
      </c>
      <c r="E82" s="325">
        <v>8.69</v>
      </c>
      <c r="F82" s="326">
        <f>IFERROR(Queso!$D82/Queso!$E82,"")</f>
        <v>8.1703107019562715</v>
      </c>
      <c r="G82" s="231" t="s">
        <v>508</v>
      </c>
      <c r="H82" s="40">
        <v>5</v>
      </c>
      <c r="I82" s="305">
        <f>H82*Queso!$E82</f>
        <v>43.449999999999996</v>
      </c>
    </row>
    <row r="83" spans="1:9" x14ac:dyDescent="0.25">
      <c r="A83" s="337">
        <f>WEEKNUM(Queso!$B83)</f>
        <v>8</v>
      </c>
      <c r="B83" s="327">
        <f t="shared" si="1"/>
        <v>45345</v>
      </c>
      <c r="C83" s="328">
        <v>13</v>
      </c>
      <c r="D83" s="328">
        <v>65</v>
      </c>
      <c r="E83" s="329">
        <v>7.7450000000000001</v>
      </c>
      <c r="F83" s="330">
        <f>IFERROR(Queso!$D83/Queso!$E83,"")</f>
        <v>8.3925112976113621</v>
      </c>
      <c r="G83" s="231" t="s">
        <v>508</v>
      </c>
      <c r="H83" s="40">
        <v>5</v>
      </c>
      <c r="I83" s="305">
        <f>H83*Queso!$E83</f>
        <v>38.725000000000001</v>
      </c>
    </row>
    <row r="84" spans="1:9" x14ac:dyDescent="0.25">
      <c r="A84" s="337">
        <f>WEEKNUM(Queso!$B84)</f>
        <v>8</v>
      </c>
      <c r="B84" s="323">
        <f t="shared" si="1"/>
        <v>45346</v>
      </c>
      <c r="C84" s="324">
        <v>13</v>
      </c>
      <c r="D84" s="324">
        <v>69</v>
      </c>
      <c r="E84" s="325">
        <v>8.4250000000000007</v>
      </c>
      <c r="F84" s="326">
        <f>IFERROR(Queso!$D84/Queso!$E84,"")</f>
        <v>8.1899109792284861</v>
      </c>
      <c r="G84" s="231" t="s">
        <v>548</v>
      </c>
      <c r="H84" s="40">
        <v>5</v>
      </c>
      <c r="I84" s="305">
        <f>H84*Queso!$E84</f>
        <v>42.125</v>
      </c>
    </row>
    <row r="85" spans="1:9" x14ac:dyDescent="0.25">
      <c r="A85" s="337">
        <f>WEEKNUM(Queso!$B85)</f>
        <v>9</v>
      </c>
      <c r="B85" s="327">
        <f t="shared" si="1"/>
        <v>45347</v>
      </c>
      <c r="C85" s="328">
        <v>13</v>
      </c>
      <c r="D85" s="328">
        <v>65</v>
      </c>
      <c r="E85" s="329">
        <v>7.5650000000000004</v>
      </c>
      <c r="F85" s="330">
        <f>IFERROR(Queso!$D85/Queso!$E85,"")</f>
        <v>8.5922009253139446</v>
      </c>
      <c r="G85" s="231" t="s">
        <v>548</v>
      </c>
      <c r="H85" s="40">
        <v>5</v>
      </c>
      <c r="I85" s="305">
        <f>H85*Queso!$E85</f>
        <v>37.825000000000003</v>
      </c>
    </row>
    <row r="86" spans="1:9" x14ac:dyDescent="0.25">
      <c r="A86" s="337">
        <f>WEEKNUM(Queso!$B86)</f>
        <v>9</v>
      </c>
      <c r="B86" s="323">
        <f t="shared" si="1"/>
        <v>45348</v>
      </c>
      <c r="C86" s="324">
        <v>13</v>
      </c>
      <c r="D86" s="324">
        <v>65</v>
      </c>
      <c r="E86" s="325">
        <v>8.1850000000000005</v>
      </c>
      <c r="F86" s="326">
        <f>IFERROR(Queso!$D86/Queso!$E86,"")</f>
        <v>7.9413561392791685</v>
      </c>
      <c r="G86" s="231" t="s">
        <v>548</v>
      </c>
      <c r="H86" s="40">
        <v>5</v>
      </c>
      <c r="I86" s="305">
        <f>H86*Queso!$E86</f>
        <v>40.925000000000004</v>
      </c>
    </row>
    <row r="87" spans="1:9" x14ac:dyDescent="0.25">
      <c r="A87" s="337">
        <f>WEEKNUM(Queso!$B87)</f>
        <v>9</v>
      </c>
      <c r="B87" s="327">
        <f t="shared" si="1"/>
        <v>45349</v>
      </c>
      <c r="C87" s="331">
        <v>13</v>
      </c>
      <c r="D87" s="328">
        <v>62</v>
      </c>
      <c r="E87" s="329">
        <v>8.1150000000000002</v>
      </c>
      <c r="F87" s="330">
        <f>IFERROR(Queso!$D87/Queso!$E87,"")</f>
        <v>7.6401725200246453</v>
      </c>
      <c r="G87" s="231" t="s">
        <v>548</v>
      </c>
      <c r="H87" s="40">
        <v>5</v>
      </c>
      <c r="I87" s="305">
        <f>H87*Queso!$E87</f>
        <v>40.575000000000003</v>
      </c>
    </row>
    <row r="88" spans="1:9" x14ac:dyDescent="0.25">
      <c r="A88" s="337">
        <f>WEEKNUM(Queso!$B88)</f>
        <v>9</v>
      </c>
      <c r="B88" s="323">
        <f t="shared" si="1"/>
        <v>45350</v>
      </c>
      <c r="C88" s="332">
        <v>13</v>
      </c>
      <c r="D88" s="324">
        <v>58</v>
      </c>
      <c r="E88" s="325">
        <v>7.34</v>
      </c>
      <c r="F88" s="326">
        <f>IFERROR(Queso!$D88/Queso!$E88,"")</f>
        <v>7.9019073569482288</v>
      </c>
      <c r="G88" s="231" t="s">
        <v>508</v>
      </c>
      <c r="H88" s="40">
        <v>5.4</v>
      </c>
      <c r="I88" s="305">
        <f>H88*Queso!$E88</f>
        <v>39.636000000000003</v>
      </c>
    </row>
    <row r="89" spans="1:9" x14ac:dyDescent="0.25">
      <c r="A89" s="337">
        <f>WEEKNUM(Queso!$B89)</f>
        <v>9</v>
      </c>
      <c r="B89" s="327">
        <f t="shared" si="1"/>
        <v>45351</v>
      </c>
      <c r="C89" s="331">
        <v>14</v>
      </c>
      <c r="D89" s="328">
        <v>54</v>
      </c>
      <c r="E89" s="329">
        <v>7.09</v>
      </c>
      <c r="F89" s="330">
        <f>IFERROR(Queso!$D89/Queso!$E89,"")</f>
        <v>7.6163610719322996</v>
      </c>
      <c r="G89" s="231" t="s">
        <v>508</v>
      </c>
      <c r="H89" s="40">
        <v>5.4</v>
      </c>
      <c r="I89" s="305">
        <f>H89*Queso!$E89</f>
        <v>38.286000000000001</v>
      </c>
    </row>
    <row r="90" spans="1:9" x14ac:dyDescent="0.25">
      <c r="A90" s="337">
        <f>WEEKNUM(Queso!$B90)</f>
        <v>9</v>
      </c>
      <c r="B90" s="323">
        <f t="shared" si="1"/>
        <v>45352</v>
      </c>
      <c r="C90" s="332">
        <v>14</v>
      </c>
      <c r="D90" s="324">
        <v>56</v>
      </c>
      <c r="E90" s="325">
        <v>6.82</v>
      </c>
      <c r="F90" s="326">
        <f>IFERROR(Queso!$D90/Queso!$E90,"")</f>
        <v>8.2111436950146626</v>
      </c>
      <c r="G90" s="231" t="s">
        <v>544</v>
      </c>
      <c r="H90" s="40">
        <v>5</v>
      </c>
      <c r="I90" s="305">
        <f>H90*Queso!$E90</f>
        <v>34.1</v>
      </c>
    </row>
    <row r="91" spans="1:9" x14ac:dyDescent="0.25">
      <c r="A91" s="337">
        <f>WEEKNUM(Queso!$B91)</f>
        <v>9</v>
      </c>
      <c r="B91" s="327">
        <f t="shared" si="1"/>
        <v>45353</v>
      </c>
      <c r="C91" s="331">
        <v>14</v>
      </c>
      <c r="D91" s="328">
        <v>66</v>
      </c>
      <c r="E91" s="329">
        <v>8.3949999999999996</v>
      </c>
      <c r="F91" s="330">
        <f>IFERROR(Queso!$D91/Queso!$E91,"")</f>
        <v>7.8618225134008339</v>
      </c>
      <c r="G91" s="231" t="s">
        <v>544</v>
      </c>
      <c r="H91" s="40">
        <v>5</v>
      </c>
      <c r="I91" s="305">
        <f>H91*Queso!$E91</f>
        <v>41.974999999999994</v>
      </c>
    </row>
    <row r="92" spans="1:9" x14ac:dyDescent="0.25">
      <c r="A92" s="337">
        <f>WEEKNUM(Queso!$B92)</f>
        <v>10</v>
      </c>
      <c r="B92" s="323">
        <f t="shared" si="1"/>
        <v>45354</v>
      </c>
      <c r="C92" s="332">
        <v>14</v>
      </c>
      <c r="D92" s="324">
        <v>60</v>
      </c>
      <c r="E92" s="325">
        <v>7.6950000000000003</v>
      </c>
      <c r="F92" s="326">
        <f>IFERROR(Queso!$D92/Queso!$E92,"")</f>
        <v>7.7972709551656916</v>
      </c>
      <c r="G92" s="231" t="s">
        <v>508</v>
      </c>
      <c r="H92" s="40">
        <v>5</v>
      </c>
      <c r="I92" s="305">
        <f>H92*Queso!$E92</f>
        <v>38.475000000000001</v>
      </c>
    </row>
    <row r="93" spans="1:9" x14ac:dyDescent="0.25">
      <c r="A93" s="337">
        <f>WEEKNUM(Queso!$B93)</f>
        <v>10</v>
      </c>
      <c r="B93" s="327">
        <f t="shared" si="1"/>
        <v>45355</v>
      </c>
      <c r="C93" s="331">
        <v>14</v>
      </c>
      <c r="D93" s="328">
        <v>58</v>
      </c>
      <c r="E93" s="329">
        <v>7.4649999999999999</v>
      </c>
      <c r="F93" s="330">
        <f>IFERROR(Queso!$D93/Queso!$E93,"")</f>
        <v>7.7695914266577359</v>
      </c>
      <c r="G93" s="231" t="s">
        <v>508</v>
      </c>
      <c r="H93" s="40">
        <v>5</v>
      </c>
      <c r="I93" s="305">
        <f>H93*Queso!$E93</f>
        <v>37.325000000000003</v>
      </c>
    </row>
    <row r="94" spans="1:9" x14ac:dyDescent="0.25">
      <c r="A94" s="337">
        <f>WEEKNUM(Queso!$B94)</f>
        <v>10</v>
      </c>
      <c r="B94" s="323">
        <f t="shared" si="1"/>
        <v>45356</v>
      </c>
      <c r="C94" s="332">
        <v>14</v>
      </c>
      <c r="D94" s="324">
        <v>58</v>
      </c>
      <c r="E94" s="325">
        <v>7.585</v>
      </c>
      <c r="F94" s="326">
        <f>IFERROR(Queso!$D94/Queso!$E94,"")</f>
        <v>7.6466710613052076</v>
      </c>
      <c r="G94" s="231" t="s">
        <v>508</v>
      </c>
      <c r="H94" s="40">
        <v>5</v>
      </c>
      <c r="I94" s="305">
        <f>H94*Queso!$E94</f>
        <v>37.924999999999997</v>
      </c>
    </row>
    <row r="95" spans="1:9" x14ac:dyDescent="0.25">
      <c r="A95" s="337">
        <f>WEEKNUM(Queso!$B95)</f>
        <v>10</v>
      </c>
      <c r="B95" s="327">
        <f t="shared" si="1"/>
        <v>45357</v>
      </c>
      <c r="C95" s="331">
        <v>14</v>
      </c>
      <c r="D95" s="328">
        <v>53</v>
      </c>
      <c r="E95" s="329">
        <v>6.6449999999999996</v>
      </c>
      <c r="F95" s="330">
        <f>IFERROR(Queso!$D95/Queso!$E95,"")</f>
        <v>7.975921745673439</v>
      </c>
      <c r="G95" s="231" t="s">
        <v>508</v>
      </c>
      <c r="H95" s="40">
        <v>5</v>
      </c>
      <c r="I95" s="305">
        <f>H95*Queso!$E95</f>
        <v>33.224999999999994</v>
      </c>
    </row>
    <row r="96" spans="1:9" x14ac:dyDescent="0.25">
      <c r="A96" s="337">
        <f>WEEKNUM(Queso!$B96)</f>
        <v>10</v>
      </c>
      <c r="B96" s="323">
        <f t="shared" si="1"/>
        <v>45358</v>
      </c>
      <c r="C96" s="332">
        <v>14</v>
      </c>
      <c r="D96" s="324">
        <v>56</v>
      </c>
      <c r="E96" s="325">
        <v>6.92</v>
      </c>
      <c r="F96" s="326">
        <f>IFERROR(Queso!$D96/Queso!$E96,"")</f>
        <v>8.0924855491329488</v>
      </c>
      <c r="G96" s="231" t="s">
        <v>544</v>
      </c>
      <c r="H96" s="40">
        <v>5</v>
      </c>
      <c r="I96" s="305">
        <f>H96*Queso!$E96</f>
        <v>34.6</v>
      </c>
    </row>
    <row r="97" spans="1:17" x14ac:dyDescent="0.25">
      <c r="A97" s="337">
        <f>WEEKNUM(Queso!$B97)</f>
        <v>10</v>
      </c>
      <c r="B97" s="327">
        <f t="shared" si="1"/>
        <v>45359</v>
      </c>
      <c r="C97" s="331">
        <v>14</v>
      </c>
      <c r="D97" s="328">
        <v>55</v>
      </c>
      <c r="E97" s="329">
        <v>6.4950000000000001</v>
      </c>
      <c r="F97" s="330">
        <f>IFERROR(Queso!$D97/Queso!$E97,"")</f>
        <v>8.4680523479599685</v>
      </c>
      <c r="G97" s="231" t="s">
        <v>548</v>
      </c>
      <c r="H97" s="40">
        <v>5</v>
      </c>
      <c r="I97" s="305">
        <f>H97*Queso!$E97</f>
        <v>32.475000000000001</v>
      </c>
    </row>
    <row r="98" spans="1:17" x14ac:dyDescent="0.25">
      <c r="A98" s="337">
        <f>WEEKNUM(Queso!$B98)</f>
        <v>10</v>
      </c>
      <c r="B98" s="323">
        <f t="shared" si="1"/>
        <v>45360</v>
      </c>
      <c r="C98" s="332">
        <v>14</v>
      </c>
      <c r="D98" s="324">
        <v>57</v>
      </c>
      <c r="E98" s="325">
        <v>6.79</v>
      </c>
      <c r="F98" s="326">
        <f>IFERROR(Queso!$D98/Queso!$E98,"")</f>
        <v>8.3946980854197353</v>
      </c>
      <c r="G98" s="231" t="s">
        <v>548</v>
      </c>
      <c r="H98" s="40">
        <v>5</v>
      </c>
      <c r="I98" s="305">
        <f>H98*Queso!$E98</f>
        <v>33.950000000000003</v>
      </c>
    </row>
    <row r="99" spans="1:17" x14ac:dyDescent="0.25">
      <c r="A99" s="337">
        <f>WEEKNUM(Queso!$B99)</f>
        <v>11</v>
      </c>
      <c r="B99" s="327">
        <f t="shared" si="1"/>
        <v>45361</v>
      </c>
      <c r="C99" s="331">
        <v>14</v>
      </c>
      <c r="D99" s="328">
        <v>57</v>
      </c>
      <c r="E99" s="329">
        <v>7.0350000000000001</v>
      </c>
      <c r="F99" s="330">
        <f>IFERROR(Queso!$D99/Queso!$E99,"")</f>
        <v>8.1023454157782506</v>
      </c>
      <c r="G99" s="231" t="s">
        <v>548</v>
      </c>
      <c r="H99" s="40">
        <v>5</v>
      </c>
      <c r="I99" s="305">
        <f>H99*Queso!$E99</f>
        <v>35.174999999999997</v>
      </c>
    </row>
    <row r="100" spans="1:17" x14ac:dyDescent="0.25">
      <c r="A100" s="337">
        <f>WEEKNUM(Queso!$B100)</f>
        <v>11</v>
      </c>
      <c r="B100" s="327">
        <f t="shared" si="1"/>
        <v>45362</v>
      </c>
      <c r="C100" s="332">
        <v>14</v>
      </c>
      <c r="D100" s="324">
        <v>58</v>
      </c>
      <c r="E100" s="325">
        <v>6.74</v>
      </c>
      <c r="F100" s="326">
        <f>IFERROR(Queso!$D100/Queso!$E100,"")</f>
        <v>8.6053412462908003</v>
      </c>
      <c r="G100" s="231" t="s">
        <v>508</v>
      </c>
      <c r="H100" s="40">
        <v>5</v>
      </c>
      <c r="I100" s="305">
        <f>H100*Queso!$E100</f>
        <v>33.700000000000003</v>
      </c>
    </row>
    <row r="101" spans="1:17" x14ac:dyDescent="0.25">
      <c r="A101" s="337">
        <f>WEEKNUM(Queso!$B101)</f>
        <v>11</v>
      </c>
      <c r="B101" s="327">
        <f t="shared" si="1"/>
        <v>45363</v>
      </c>
      <c r="C101" s="331">
        <v>14</v>
      </c>
      <c r="D101" s="328">
        <v>58</v>
      </c>
      <c r="E101" s="329">
        <v>6.93</v>
      </c>
      <c r="F101" s="330">
        <f>IFERROR(Queso!$D101/Queso!$E101,"")</f>
        <v>8.3694083694083705</v>
      </c>
      <c r="G101" s="338" t="s">
        <v>516</v>
      </c>
      <c r="H101" s="40">
        <v>5</v>
      </c>
      <c r="I101" s="305">
        <f>H101*Queso!$E101</f>
        <v>34.65</v>
      </c>
    </row>
    <row r="102" spans="1:17" x14ac:dyDescent="0.25">
      <c r="A102" s="337">
        <f>WEEKNUM(Queso!$B102)</f>
        <v>11</v>
      </c>
      <c r="B102" s="327">
        <f t="shared" si="1"/>
        <v>45364</v>
      </c>
      <c r="C102" s="332">
        <v>14</v>
      </c>
      <c r="D102" s="324">
        <v>53</v>
      </c>
      <c r="E102" s="325">
        <v>6.915</v>
      </c>
      <c r="F102" s="326">
        <f>IFERROR(Queso!$D102/Queso!$E102,"")</f>
        <v>7.6644974692697039</v>
      </c>
      <c r="G102" s="338" t="s">
        <v>516</v>
      </c>
      <c r="H102" s="40">
        <v>5</v>
      </c>
      <c r="I102" s="305">
        <f>H102*Queso!$E102</f>
        <v>34.575000000000003</v>
      </c>
    </row>
    <row r="103" spans="1:17" ht="15.75" x14ac:dyDescent="0.25">
      <c r="A103" s="337">
        <f>WEEKNUM(Queso!$B103)</f>
        <v>11</v>
      </c>
      <c r="B103" s="327">
        <f t="shared" si="1"/>
        <v>45365</v>
      </c>
      <c r="C103" s="331">
        <v>14</v>
      </c>
      <c r="D103" s="331">
        <v>55</v>
      </c>
      <c r="E103" s="329">
        <v>7.19</v>
      </c>
      <c r="F103" s="330">
        <f>IFERROR(Queso!$D103/Queso!$E103,"")</f>
        <v>7.649513212795549</v>
      </c>
      <c r="G103" s="338" t="s">
        <v>548</v>
      </c>
      <c r="H103" s="40">
        <v>5</v>
      </c>
      <c r="I103" s="305">
        <f>H103*Queso!$E103</f>
        <v>35.950000000000003</v>
      </c>
      <c r="J103" s="70"/>
      <c r="K103" s="70"/>
      <c r="L103" s="39" t="s">
        <v>574</v>
      </c>
      <c r="M103" s="70"/>
      <c r="N103" s="290">
        <v>36.18</v>
      </c>
      <c r="O103" s="293">
        <v>181</v>
      </c>
      <c r="P103" s="295">
        <v>0.45</v>
      </c>
    </row>
    <row r="104" spans="1:17" ht="15.75" x14ac:dyDescent="0.25">
      <c r="A104" s="337">
        <f>WEEKNUM(Queso!$B104)</f>
        <v>11</v>
      </c>
      <c r="B104" s="327">
        <f t="shared" si="1"/>
        <v>45366</v>
      </c>
      <c r="C104" s="332">
        <v>14</v>
      </c>
      <c r="D104" s="332">
        <v>55</v>
      </c>
      <c r="E104" s="324">
        <v>6.34</v>
      </c>
      <c r="F104" s="326">
        <f>IFERROR(Queso!$D104/Queso!$E104,"")</f>
        <v>8.6750788643533117</v>
      </c>
      <c r="G104" s="338" t="s">
        <v>516</v>
      </c>
      <c r="H104" s="40">
        <v>5</v>
      </c>
      <c r="I104" s="305">
        <f>H104*Queso!$E104</f>
        <v>31.7</v>
      </c>
      <c r="J104" s="70"/>
      <c r="K104" s="291"/>
      <c r="L104" s="39" t="s">
        <v>86</v>
      </c>
      <c r="M104" s="39" t="s">
        <v>521</v>
      </c>
      <c r="N104" s="39" t="s">
        <v>88</v>
      </c>
      <c r="O104" s="290">
        <f>O103/N103</f>
        <v>5.0027639579878382</v>
      </c>
      <c r="P104" s="299" t="s">
        <v>527</v>
      </c>
      <c r="Q104" s="316"/>
    </row>
    <row r="105" spans="1:17" ht="15.75" x14ac:dyDescent="0.25">
      <c r="A105" s="337">
        <f>WEEKNUM(Queso!$B105)</f>
        <v>11</v>
      </c>
      <c r="B105" s="327">
        <f t="shared" si="1"/>
        <v>45367</v>
      </c>
      <c r="C105" s="331">
        <v>14</v>
      </c>
      <c r="D105" s="331">
        <v>54</v>
      </c>
      <c r="E105" s="328">
        <v>6.74</v>
      </c>
      <c r="F105" s="330">
        <f>IFERROR(Queso!$D105/Queso!$E105,"")</f>
        <v>8.0118694362017795</v>
      </c>
      <c r="G105" s="338" t="s">
        <v>508</v>
      </c>
      <c r="H105" s="40">
        <v>5</v>
      </c>
      <c r="I105" s="305">
        <f>H105*Queso!$E105</f>
        <v>33.700000000000003</v>
      </c>
      <c r="J105" s="390">
        <f>C173</f>
        <v>15</v>
      </c>
      <c r="K105" s="39" t="s">
        <v>299</v>
      </c>
      <c r="L105" s="290">
        <f ca="1">AVERAGE(INDIRECT(ADDRESS(COUNT(Queso!$E$4:$E$171)+3,5,4)):INDIRECT(ADDRESS(COUNT(Queso!$E$4:$E$171)-3,5,4)))</f>
        <v>9.0035714285714281</v>
      </c>
      <c r="M105" s="290">
        <f ca="1">L105*7</f>
        <v>63.024999999999999</v>
      </c>
      <c r="N105" s="290">
        <f ca="1">L105*30</f>
        <v>270.10714285714283</v>
      </c>
      <c r="O105" s="306" t="s">
        <v>540</v>
      </c>
      <c r="P105" s="295">
        <f ca="1">L114/L105</f>
        <v>5.8717440169245014</v>
      </c>
      <c r="Q105" s="317"/>
    </row>
    <row r="106" spans="1:17" ht="15.75" x14ac:dyDescent="0.25">
      <c r="A106" s="337">
        <f>WEEKNUM(Queso!$B106)</f>
        <v>12</v>
      </c>
      <c r="B106" s="327">
        <f t="shared" si="1"/>
        <v>45368</v>
      </c>
      <c r="C106" s="332">
        <v>15</v>
      </c>
      <c r="D106" s="332">
        <v>56</v>
      </c>
      <c r="E106" s="325">
        <v>7.2450000000000001</v>
      </c>
      <c r="F106" s="326">
        <f>IFERROR(Queso!$D106/Queso!$E106,"")</f>
        <v>7.7294685990338161</v>
      </c>
      <c r="G106" s="338" t="s">
        <v>548</v>
      </c>
      <c r="H106" s="40">
        <v>5</v>
      </c>
      <c r="I106" s="305">
        <f>H106*Queso!$E106</f>
        <v>36.225000000000001</v>
      </c>
      <c r="J106" s="391">
        <f ca="1">AVERAGE(INDIRECT(ADDRESS(COUNT(Queso!$D$4:$D$171)-4,4,4)):INDIRECT(ADDRESS(COUNT(Queso!$D$4:$D$171)+3,4,4)))</f>
        <v>72.25</v>
      </c>
      <c r="K106" s="39" t="s">
        <v>94</v>
      </c>
      <c r="L106" s="290">
        <f>O104</f>
        <v>5.0027639579878382</v>
      </c>
      <c r="M106" s="290">
        <f>L106</f>
        <v>5.0027639579878382</v>
      </c>
      <c r="N106" s="290">
        <f>L106</f>
        <v>5.0027639579878382</v>
      </c>
      <c r="O106" s="306" t="s">
        <v>538</v>
      </c>
      <c r="P106" s="295">
        <f>(M114/O104)/7</f>
        <v>10.567491712707183</v>
      </c>
      <c r="Q106" s="317"/>
    </row>
    <row r="107" spans="1:17" ht="15.75" x14ac:dyDescent="0.25">
      <c r="A107" s="337">
        <f>WEEKNUM(Queso!$B107)</f>
        <v>12</v>
      </c>
      <c r="B107" s="327">
        <f t="shared" si="1"/>
        <v>45369</v>
      </c>
      <c r="C107" s="331">
        <v>15</v>
      </c>
      <c r="D107" s="328">
        <v>59</v>
      </c>
      <c r="E107" s="329">
        <v>7.28</v>
      </c>
      <c r="F107" s="330">
        <f>IFERROR(Queso!$D107/Queso!$E107,"")</f>
        <v>8.104395604395604</v>
      </c>
      <c r="G107" s="231" t="s">
        <v>516</v>
      </c>
      <c r="H107" s="40">
        <v>5</v>
      </c>
      <c r="I107" s="305">
        <f>H107*Queso!$E107</f>
        <v>36.4</v>
      </c>
      <c r="J107" s="391">
        <f ca="1">J106/J105</f>
        <v>4.8166666666666664</v>
      </c>
      <c r="K107" s="297" t="s">
        <v>556</v>
      </c>
      <c r="L107" s="290">
        <f ca="1">L106*L105</f>
        <v>45.042742636026212</v>
      </c>
      <c r="M107" s="290">
        <f ca="1">M106*M105</f>
        <v>315.29919845218348</v>
      </c>
      <c r="N107" s="290">
        <f ca="1">N106*N105</f>
        <v>1351.2822790807863</v>
      </c>
      <c r="O107" s="306" t="s">
        <v>539</v>
      </c>
      <c r="P107" s="295">
        <f ca="1">P106*J108</f>
        <v>85.58958843891709</v>
      </c>
      <c r="Q107" s="317"/>
    </row>
    <row r="108" spans="1:17" ht="15.75" x14ac:dyDescent="0.25">
      <c r="A108" s="337">
        <f>WEEKNUM(Queso!$B108)</f>
        <v>12</v>
      </c>
      <c r="B108" s="327">
        <f t="shared" si="1"/>
        <v>45370</v>
      </c>
      <c r="C108" s="332">
        <v>15</v>
      </c>
      <c r="D108" s="324">
        <v>60</v>
      </c>
      <c r="E108" s="325">
        <v>6.95</v>
      </c>
      <c r="F108" s="326">
        <f>IFERROR(Queso!$D108/Queso!$E108,"")</f>
        <v>8.6330935251798557</v>
      </c>
      <c r="G108" s="231" t="s">
        <v>516</v>
      </c>
      <c r="H108" s="40">
        <v>5</v>
      </c>
      <c r="I108" s="305">
        <f>H108*Queso!$E108</f>
        <v>34.75</v>
      </c>
      <c r="J108" s="391">
        <f ca="1">AVERAGE(INDIRECT(ADDRESS(COUNT(Queso!$F$4:$F$171)+3,6,4)):INDIRECT(ADDRESS(COUNT(Queso!$F$4:$F$171)-3,6,4)))</f>
        <v>8.0993286548781906</v>
      </c>
      <c r="K108" s="292" t="s">
        <v>522</v>
      </c>
      <c r="L108" s="295">
        <v>15</v>
      </c>
      <c r="M108" s="295">
        <f>L108*7</f>
        <v>105</v>
      </c>
      <c r="N108" s="295">
        <f>L108*30</f>
        <v>450</v>
      </c>
      <c r="O108" s="306" t="s">
        <v>541</v>
      </c>
      <c r="P108" s="295">
        <f ca="1">P107/J105</f>
        <v>5.7059725625944724</v>
      </c>
      <c r="Q108" s="317"/>
    </row>
    <row r="109" spans="1:17" ht="15.75" x14ac:dyDescent="0.25">
      <c r="A109" s="337">
        <f>WEEKNUM(Queso!$B109)</f>
        <v>12</v>
      </c>
      <c r="B109" s="327">
        <f t="shared" si="1"/>
        <v>45371</v>
      </c>
      <c r="C109" s="331">
        <v>15</v>
      </c>
      <c r="D109" s="328">
        <v>54</v>
      </c>
      <c r="E109" s="329">
        <v>6.42</v>
      </c>
      <c r="F109" s="330">
        <f>IFERROR(Queso!$D109/Queso!$E109,"")</f>
        <v>8.4112149532710276</v>
      </c>
      <c r="G109" s="231" t="s">
        <v>548</v>
      </c>
      <c r="H109" s="40">
        <v>5</v>
      </c>
      <c r="I109" s="305">
        <f>H109*Queso!$E109</f>
        <v>32.1</v>
      </c>
      <c r="J109" s="70"/>
      <c r="K109" s="292" t="s">
        <v>530</v>
      </c>
      <c r="L109" s="295">
        <f>M109/7</f>
        <v>10</v>
      </c>
      <c r="M109" s="295">
        <v>70</v>
      </c>
      <c r="N109" s="295">
        <f>L109*30</f>
        <v>300</v>
      </c>
      <c r="O109" s="70"/>
      <c r="P109" s="70"/>
    </row>
    <row r="110" spans="1:17" ht="15.75" x14ac:dyDescent="0.25">
      <c r="A110" s="337">
        <f>WEEKNUM(Queso!$B110)</f>
        <v>12</v>
      </c>
      <c r="B110" s="327">
        <f t="shared" si="1"/>
        <v>45372</v>
      </c>
      <c r="C110" s="332">
        <v>15</v>
      </c>
      <c r="D110" s="324">
        <v>58</v>
      </c>
      <c r="E110" s="325">
        <v>6.8</v>
      </c>
      <c r="F110" s="326">
        <f>IFERROR(Queso!$D110/Queso!$E110,"")</f>
        <v>8.5294117647058822</v>
      </c>
      <c r="G110" s="231" t="s">
        <v>548</v>
      </c>
      <c r="H110" s="40">
        <v>5</v>
      </c>
      <c r="I110" s="305">
        <f>H110*Queso!$E110</f>
        <v>34</v>
      </c>
      <c r="J110" s="347">
        <v>15</v>
      </c>
      <c r="K110" s="292" t="s">
        <v>523</v>
      </c>
      <c r="L110" s="295">
        <f>N110/30</f>
        <v>5</v>
      </c>
      <c r="M110" s="295">
        <f>L110*7</f>
        <v>35</v>
      </c>
      <c r="N110" s="295">
        <v>150</v>
      </c>
      <c r="O110" s="70"/>
      <c r="P110" s="70"/>
    </row>
    <row r="111" spans="1:17" ht="15.75" x14ac:dyDescent="0.25">
      <c r="A111" s="337">
        <f>WEEKNUM(Queso!$B111)</f>
        <v>12</v>
      </c>
      <c r="B111" s="327">
        <f t="shared" si="1"/>
        <v>45373</v>
      </c>
      <c r="C111" s="331">
        <v>15</v>
      </c>
      <c r="D111" s="328">
        <v>56</v>
      </c>
      <c r="E111" s="329">
        <v>6.88</v>
      </c>
      <c r="F111" s="330">
        <f>IFERROR(Queso!$D111/Queso!$E111,"")</f>
        <v>8.1395348837209305</v>
      </c>
      <c r="G111" s="231" t="s">
        <v>548</v>
      </c>
      <c r="H111" s="40">
        <v>5</v>
      </c>
      <c r="I111" s="305">
        <f>H111*Queso!$E111</f>
        <v>34.4</v>
      </c>
      <c r="J111" s="348">
        <f ca="1">J112/J110</f>
        <v>4.8615256045114092</v>
      </c>
      <c r="K111" s="292" t="s">
        <v>524</v>
      </c>
      <c r="L111" s="295">
        <f>N111/30</f>
        <v>5</v>
      </c>
      <c r="M111" s="295">
        <f>L111*7</f>
        <v>35</v>
      </c>
      <c r="N111" s="295">
        <v>150</v>
      </c>
      <c r="O111" s="70"/>
      <c r="P111" s="70"/>
    </row>
    <row r="112" spans="1:17" ht="15.75" x14ac:dyDescent="0.25">
      <c r="A112" s="337">
        <f>WEEKNUM(Queso!$B112)</f>
        <v>12</v>
      </c>
      <c r="B112" s="327">
        <f t="shared" si="1"/>
        <v>45374</v>
      </c>
      <c r="C112" s="332">
        <v>15</v>
      </c>
      <c r="D112" s="324">
        <v>57</v>
      </c>
      <c r="E112" s="325">
        <v>6.74</v>
      </c>
      <c r="F112" s="326">
        <f>IFERROR(Queso!$D112/Queso!$E112,"")</f>
        <v>8.4569732937685451</v>
      </c>
      <c r="G112" s="231" t="s">
        <v>548</v>
      </c>
      <c r="H112" s="40">
        <v>5</v>
      </c>
      <c r="I112" s="305">
        <f>H112*Queso!$E112</f>
        <v>33.700000000000003</v>
      </c>
      <c r="J112" s="348">
        <f ca="1">J113*L105</f>
        <v>72.922884067671134</v>
      </c>
      <c r="K112" s="292" t="s">
        <v>560</v>
      </c>
      <c r="L112" s="295">
        <f>M112/7</f>
        <v>15</v>
      </c>
      <c r="M112" s="295">
        <v>105</v>
      </c>
      <c r="N112" s="295">
        <f>L112*30</f>
        <v>450</v>
      </c>
      <c r="O112" s="70"/>
      <c r="P112" s="70"/>
    </row>
    <row r="113" spans="1:19" ht="15.75" x14ac:dyDescent="0.25">
      <c r="A113" s="337">
        <f>WEEKNUM(Queso!$B113)</f>
        <v>13</v>
      </c>
      <c r="B113" s="327">
        <f t="shared" si="1"/>
        <v>45375</v>
      </c>
      <c r="C113" s="331">
        <v>15</v>
      </c>
      <c r="D113" s="328">
        <v>57</v>
      </c>
      <c r="E113" s="329">
        <v>6.7249999999999996</v>
      </c>
      <c r="F113" s="330">
        <f>IFERROR(Queso!$D113/Queso!$E113,"")</f>
        <v>8.4758364312267656</v>
      </c>
      <c r="G113" s="231" t="s">
        <v>508</v>
      </c>
      <c r="H113" s="40">
        <v>5</v>
      </c>
      <c r="I113" s="305">
        <f>H113*Queso!$E113</f>
        <v>33.625</v>
      </c>
      <c r="J113" s="348">
        <f ca="1">J108</f>
        <v>8.0993286548781906</v>
      </c>
      <c r="K113" s="292" t="s">
        <v>573</v>
      </c>
      <c r="L113" s="295">
        <f>N113/30</f>
        <v>2.8666666666666667</v>
      </c>
      <c r="M113" s="295">
        <f>L113*7</f>
        <v>20.066666666666666</v>
      </c>
      <c r="N113" s="295">
        <f>36+20+30</f>
        <v>86</v>
      </c>
      <c r="O113" s="70"/>
      <c r="P113" s="70"/>
    </row>
    <row r="114" spans="1:19" ht="15.75" x14ac:dyDescent="0.25">
      <c r="A114" s="337">
        <f>WEEKNUM(Queso!$B114)</f>
        <v>13</v>
      </c>
      <c r="B114" s="327">
        <f t="shared" si="1"/>
        <v>45376</v>
      </c>
      <c r="C114" s="332">
        <v>15</v>
      </c>
      <c r="D114" s="324">
        <v>58</v>
      </c>
      <c r="E114" s="325">
        <v>7.2450000000000001</v>
      </c>
      <c r="F114" s="326">
        <f>IFERROR(Queso!$D114/Queso!$E114,"")</f>
        <v>8.0055210489993094</v>
      </c>
      <c r="G114" s="231" t="s">
        <v>508</v>
      </c>
      <c r="H114" s="40">
        <v>5</v>
      </c>
      <c r="I114" s="305">
        <f>H114*Queso!$E114</f>
        <v>36.225000000000001</v>
      </c>
      <c r="J114" s="348"/>
      <c r="K114" s="296" t="s">
        <v>531</v>
      </c>
      <c r="L114" s="295">
        <f>SUM(L108:L113)</f>
        <v>52.866666666666667</v>
      </c>
      <c r="M114" s="295">
        <f>SUM(M108:M113)</f>
        <v>370.06666666666666</v>
      </c>
      <c r="N114" s="295">
        <f>SUM(N108:N113)</f>
        <v>1586</v>
      </c>
      <c r="O114" s="70"/>
      <c r="P114" s="70"/>
    </row>
    <row r="115" spans="1:19" ht="15.75" x14ac:dyDescent="0.25">
      <c r="A115" s="337">
        <f>WEEKNUM(Queso!$B115)</f>
        <v>13</v>
      </c>
      <c r="B115" s="327">
        <f t="shared" si="1"/>
        <v>45377</v>
      </c>
      <c r="C115" s="331">
        <v>15</v>
      </c>
      <c r="D115" s="328">
        <v>57</v>
      </c>
      <c r="E115" s="329">
        <v>7.07</v>
      </c>
      <c r="F115" s="330">
        <f>IFERROR(Queso!$D115/Queso!$E115,"")</f>
        <v>8.0622347949080613</v>
      </c>
      <c r="G115" s="231" t="s">
        <v>548</v>
      </c>
      <c r="H115" s="40">
        <v>5</v>
      </c>
      <c r="I115" s="305">
        <f>H115*Queso!$E115</f>
        <v>35.35</v>
      </c>
      <c r="J115" s="70"/>
      <c r="K115" s="298" t="s">
        <v>532</v>
      </c>
      <c r="L115" s="290">
        <f ca="1">M115/7</f>
        <v>-4.9572573639737891</v>
      </c>
      <c r="M115" s="290">
        <f ca="1">M107-SUM(M108:M112)</f>
        <v>-34.700801547816525</v>
      </c>
      <c r="N115" s="290">
        <f ca="1">L115*30</f>
        <v>-148.71772091921366</v>
      </c>
      <c r="O115" s="70"/>
      <c r="P115" s="70"/>
    </row>
    <row r="116" spans="1:19" ht="15.75" x14ac:dyDescent="0.25">
      <c r="A116" s="337">
        <f>WEEKNUM(Queso!$B116)</f>
        <v>13</v>
      </c>
      <c r="B116" s="327">
        <f t="shared" si="1"/>
        <v>45378</v>
      </c>
      <c r="C116" s="332">
        <v>15</v>
      </c>
      <c r="D116" s="324">
        <v>54</v>
      </c>
      <c r="E116" s="325">
        <v>6.87</v>
      </c>
      <c r="F116" s="326">
        <f>IFERROR(Queso!$D116/Queso!$E116,"")</f>
        <v>7.8602620087336241</v>
      </c>
      <c r="G116" s="231" t="s">
        <v>508</v>
      </c>
      <c r="H116" s="40">
        <v>5</v>
      </c>
      <c r="I116" s="305">
        <f>H116*Queso!$E116</f>
        <v>34.35</v>
      </c>
      <c r="J116" s="70"/>
      <c r="K116" s="389"/>
      <c r="L116" s="290"/>
      <c r="M116" s="290"/>
      <c r="N116" s="290"/>
      <c r="O116" s="70"/>
      <c r="P116" s="70"/>
    </row>
    <row r="117" spans="1:19" x14ac:dyDescent="0.25">
      <c r="A117" s="337">
        <f>WEEKNUM(Queso!$B117)</f>
        <v>13</v>
      </c>
      <c r="B117" s="327">
        <f t="shared" si="1"/>
        <v>45379</v>
      </c>
      <c r="C117" s="331">
        <v>15</v>
      </c>
      <c r="D117" s="328">
        <v>54</v>
      </c>
      <c r="E117" s="329">
        <v>6.57</v>
      </c>
      <c r="F117" s="330">
        <f>IFERROR(Queso!$D117/Queso!$E117,"")</f>
        <v>8.2191780821917799</v>
      </c>
      <c r="G117" s="231" t="s">
        <v>508</v>
      </c>
      <c r="H117" s="40">
        <v>5</v>
      </c>
      <c r="I117" s="305">
        <f>H117*Queso!$E117</f>
        <v>32.85</v>
      </c>
    </row>
    <row r="118" spans="1:19" ht="15.75" x14ac:dyDescent="0.25">
      <c r="A118" s="337">
        <f>WEEKNUM(Queso!$B118)</f>
        <v>13</v>
      </c>
      <c r="B118" s="327">
        <f t="shared" si="1"/>
        <v>45380</v>
      </c>
      <c r="C118" s="332">
        <v>15</v>
      </c>
      <c r="D118" s="324">
        <v>55</v>
      </c>
      <c r="E118" s="325">
        <v>6.7</v>
      </c>
      <c r="F118" s="326">
        <f>IFERROR(Queso!$D118/Queso!$E118,"")</f>
        <v>8.2089552238805972</v>
      </c>
      <c r="G118" s="231" t="s">
        <v>508</v>
      </c>
      <c r="H118" s="40">
        <v>5</v>
      </c>
      <c r="I118" s="305">
        <f>H118*Queso!$E118</f>
        <v>33.5</v>
      </c>
      <c r="J118" s="390">
        <f ca="1">J120/J107</f>
        <v>33.990756440887708</v>
      </c>
      <c r="K118" s="300"/>
      <c r="L118" s="295" t="s">
        <v>537</v>
      </c>
      <c r="M118" s="295"/>
      <c r="N118" s="290">
        <v>36.35</v>
      </c>
      <c r="O118" s="293">
        <v>195</v>
      </c>
      <c r="P118" s="70">
        <f>O118/N118</f>
        <v>5.3645116918844566</v>
      </c>
      <c r="Q118" s="70"/>
      <c r="R118" s="70"/>
      <c r="S118" s="70"/>
    </row>
    <row r="119" spans="1:19" ht="15.75" x14ac:dyDescent="0.25">
      <c r="A119" s="337">
        <f>WEEKNUM(Queso!$B119)</f>
        <v>13</v>
      </c>
      <c r="B119" s="327">
        <f t="shared" si="1"/>
        <v>45381</v>
      </c>
      <c r="C119" s="331">
        <v>15</v>
      </c>
      <c r="D119" s="328">
        <v>55</v>
      </c>
      <c r="E119" s="329">
        <v>6.7</v>
      </c>
      <c r="F119" s="330">
        <f>IFERROR(Queso!$D119/Queso!$E119,"")</f>
        <v>8.2089552238805972</v>
      </c>
      <c r="G119" s="231" t="s">
        <v>508</v>
      </c>
      <c r="H119" s="40">
        <v>5</v>
      </c>
      <c r="I119" s="305">
        <f>H119*Queso!$E119</f>
        <v>33.5</v>
      </c>
      <c r="J119" s="300">
        <v>25</v>
      </c>
      <c r="K119" s="70"/>
      <c r="L119" s="70"/>
      <c r="M119" s="70"/>
      <c r="N119" s="70"/>
      <c r="O119" s="70"/>
      <c r="P119" s="70"/>
      <c r="Q119" s="70"/>
      <c r="R119" s="70"/>
      <c r="S119" s="70"/>
    </row>
    <row r="120" spans="1:19" ht="15.75" x14ac:dyDescent="0.25">
      <c r="A120" s="337">
        <f>WEEKNUM(Queso!$B120)</f>
        <v>14</v>
      </c>
      <c r="B120" s="327">
        <f t="shared" si="1"/>
        <v>45382</v>
      </c>
      <c r="C120" s="332">
        <v>15</v>
      </c>
      <c r="D120" s="324">
        <v>53</v>
      </c>
      <c r="E120" s="325">
        <v>6.7750000000000004</v>
      </c>
      <c r="F120" s="326">
        <f>IFERROR(Queso!$D120/Queso!$E120,"")</f>
        <v>7.8228782287822876</v>
      </c>
      <c r="G120" s="231" t="s">
        <v>508</v>
      </c>
      <c r="H120" s="40">
        <v>5</v>
      </c>
      <c r="I120" s="305">
        <f>H120*Queso!$E120</f>
        <v>33.875</v>
      </c>
      <c r="J120" s="391">
        <f ca="1">L121*J122</f>
        <v>163.72214352360913</v>
      </c>
      <c r="K120" s="291"/>
      <c r="L120" s="39" t="s">
        <v>86</v>
      </c>
      <c r="M120" s="39" t="s">
        <v>521</v>
      </c>
      <c r="N120" s="39" t="s">
        <v>88</v>
      </c>
      <c r="O120" s="290">
        <v>5</v>
      </c>
      <c r="P120" s="70"/>
      <c r="Q120" s="70"/>
      <c r="R120" s="70"/>
      <c r="S120" s="70"/>
    </row>
    <row r="121" spans="1:19" ht="15.75" x14ac:dyDescent="0.25">
      <c r="A121" s="337">
        <f>WEEKNUM(Queso!$B121)</f>
        <v>14</v>
      </c>
      <c r="B121" s="327">
        <f t="shared" si="1"/>
        <v>45383</v>
      </c>
      <c r="C121" s="331">
        <v>15</v>
      </c>
      <c r="D121" s="328">
        <v>54</v>
      </c>
      <c r="E121" s="329">
        <v>6.79</v>
      </c>
      <c r="F121" s="330">
        <f>IFERROR(Queso!$D121/Queso!$E121,"")</f>
        <v>7.9528718703976438</v>
      </c>
      <c r="G121" s="231" t="s">
        <v>508</v>
      </c>
      <c r="H121" s="40">
        <v>5</v>
      </c>
      <c r="I121" s="305">
        <f>H121*Queso!$E121</f>
        <v>33.950000000000003</v>
      </c>
      <c r="J121" s="295">
        <f ca="1">J120/J119</f>
        <v>6.5488857409443657</v>
      </c>
      <c r="K121" s="39" t="s">
        <v>299</v>
      </c>
      <c r="L121" s="290">
        <f>L130/L122</f>
        <v>20.214285714285715</v>
      </c>
      <c r="M121" s="290">
        <f>L121*7</f>
        <v>141.5</v>
      </c>
      <c r="N121" s="290">
        <f>L121*30</f>
        <v>606.42857142857144</v>
      </c>
      <c r="O121" s="299" t="s">
        <v>527</v>
      </c>
      <c r="P121" s="70"/>
      <c r="Q121" s="70"/>
      <c r="R121" s="70"/>
      <c r="S121" s="70"/>
    </row>
    <row r="122" spans="1:19" ht="15.75" x14ac:dyDescent="0.25">
      <c r="A122" s="337">
        <f>WEEKNUM(Queso!$B122)</f>
        <v>14</v>
      </c>
      <c r="B122" s="327">
        <f t="shared" si="1"/>
        <v>45384</v>
      </c>
      <c r="C122" s="332">
        <v>15</v>
      </c>
      <c r="D122" s="324">
        <v>52</v>
      </c>
      <c r="E122" s="325">
        <v>6.6150000000000002</v>
      </c>
      <c r="F122" s="326">
        <f>IFERROR(Queso!$D122/Queso!$E122,"")</f>
        <v>7.8609221466364323</v>
      </c>
      <c r="G122" s="231" t="s">
        <v>508</v>
      </c>
      <c r="H122" s="40">
        <v>5</v>
      </c>
      <c r="I122" s="305">
        <f>H122*Queso!$E122</f>
        <v>33.075000000000003</v>
      </c>
      <c r="J122" s="391">
        <f ca="1">F173</f>
        <v>8.0993286548781906</v>
      </c>
      <c r="K122" s="39" t="s">
        <v>94</v>
      </c>
      <c r="L122" s="290">
        <f>O120</f>
        <v>5</v>
      </c>
      <c r="M122" s="290">
        <f>L122</f>
        <v>5</v>
      </c>
      <c r="N122" s="290">
        <f>L122</f>
        <v>5</v>
      </c>
      <c r="O122" s="295">
        <f>L130/L121</f>
        <v>5</v>
      </c>
      <c r="P122" s="70"/>
      <c r="Q122" s="70"/>
      <c r="R122" s="70"/>
      <c r="S122" s="70"/>
    </row>
    <row r="123" spans="1:19" ht="15.75" x14ac:dyDescent="0.25">
      <c r="A123" s="337">
        <f>WEEKNUM(Queso!$B123)</f>
        <v>14</v>
      </c>
      <c r="B123" s="327">
        <f t="shared" si="1"/>
        <v>45385</v>
      </c>
      <c r="C123" s="331">
        <v>15</v>
      </c>
      <c r="D123" s="328">
        <v>56</v>
      </c>
      <c r="E123" s="329">
        <v>7.2350000000000003</v>
      </c>
      <c r="F123" s="330">
        <f>IFERROR(Queso!$D123/Queso!$E123,"")</f>
        <v>7.7401520387007601</v>
      </c>
      <c r="G123" s="231" t="s">
        <v>516</v>
      </c>
      <c r="H123" s="40">
        <v>5</v>
      </c>
      <c r="I123" s="305">
        <f>H123*Queso!$E123</f>
        <v>36.175000000000004</v>
      </c>
      <c r="J123" s="70"/>
      <c r="K123" s="297" t="s">
        <v>556</v>
      </c>
      <c r="L123" s="290">
        <f>L122*L121</f>
        <v>101.07142857142858</v>
      </c>
      <c r="M123" s="290">
        <f>M122*M121</f>
        <v>707.5</v>
      </c>
      <c r="N123" s="290">
        <f>N122*N121</f>
        <v>3032.1428571428573</v>
      </c>
      <c r="O123" s="70" t="s">
        <v>567</v>
      </c>
      <c r="P123" s="70"/>
      <c r="Q123" s="70" t="s">
        <v>565</v>
      </c>
      <c r="R123" s="70" t="s">
        <v>566</v>
      </c>
      <c r="S123" s="70" t="s">
        <v>568</v>
      </c>
    </row>
    <row r="124" spans="1:19" ht="15.75" x14ac:dyDescent="0.25">
      <c r="A124" s="337">
        <f>WEEKNUM(Queso!$B124)</f>
        <v>14</v>
      </c>
      <c r="B124" s="327">
        <f t="shared" si="1"/>
        <v>45386</v>
      </c>
      <c r="C124" s="332">
        <v>15</v>
      </c>
      <c r="D124" s="324">
        <v>56</v>
      </c>
      <c r="E124" s="325">
        <v>6.8</v>
      </c>
      <c r="F124" s="326">
        <f>IFERROR(Queso!$D124/Queso!$E124,"")</f>
        <v>8.2352941176470598</v>
      </c>
      <c r="G124" s="231" t="s">
        <v>508</v>
      </c>
      <c r="H124" s="40">
        <v>5</v>
      </c>
      <c r="I124" s="305">
        <f>H124*Queso!$E124</f>
        <v>34</v>
      </c>
      <c r="J124" s="70"/>
      <c r="K124" s="292" t="s">
        <v>522</v>
      </c>
      <c r="L124" s="295">
        <v>15</v>
      </c>
      <c r="M124" s="295">
        <f>L124*7</f>
        <v>105</v>
      </c>
      <c r="N124" s="295">
        <f>L124*30</f>
        <v>450</v>
      </c>
      <c r="O124" s="39">
        <v>2</v>
      </c>
      <c r="P124" s="307" t="s">
        <v>233</v>
      </c>
      <c r="Q124" s="309">
        <f>O124*$J$119/35</f>
        <v>1.4285714285714286</v>
      </c>
      <c r="R124" s="309">
        <v>16.5</v>
      </c>
      <c r="S124" s="308">
        <f>Q124*R124</f>
        <v>23.571428571428573</v>
      </c>
    </row>
    <row r="125" spans="1:19" ht="15.75" x14ac:dyDescent="0.25">
      <c r="A125" s="337">
        <f>WEEKNUM(Queso!$B125)</f>
        <v>14</v>
      </c>
      <c r="B125" s="327">
        <f t="shared" si="1"/>
        <v>45387</v>
      </c>
      <c r="C125" s="331">
        <v>15</v>
      </c>
      <c r="D125" s="328">
        <v>58</v>
      </c>
      <c r="E125" s="329">
        <v>6.9</v>
      </c>
      <c r="F125" s="330">
        <f>IFERROR(Queso!$D125/Queso!$E125,"")</f>
        <v>8.4057971014492754</v>
      </c>
      <c r="G125" s="231" t="s">
        <v>508</v>
      </c>
      <c r="H125" s="40">
        <v>5</v>
      </c>
      <c r="I125" s="305">
        <f>H125*Queso!$E125</f>
        <v>34.5</v>
      </c>
      <c r="J125" s="70"/>
      <c r="K125" s="292" t="s">
        <v>530</v>
      </c>
      <c r="L125" s="295">
        <v>15</v>
      </c>
      <c r="M125" s="295">
        <v>100</v>
      </c>
      <c r="N125" s="295">
        <f>L125*30</f>
        <v>450</v>
      </c>
      <c r="O125" s="39">
        <v>2</v>
      </c>
      <c r="P125" s="307" t="s">
        <v>533</v>
      </c>
      <c r="Q125" s="309">
        <f>O125*$J$119/30</f>
        <v>1.6666666666666667</v>
      </c>
      <c r="R125" s="309">
        <v>7.5</v>
      </c>
      <c r="S125" s="308">
        <f>Q125*R125</f>
        <v>12.5</v>
      </c>
    </row>
    <row r="126" spans="1:19" ht="15.75" x14ac:dyDescent="0.25">
      <c r="A126" s="337">
        <f>WEEKNUM(Queso!$B126)</f>
        <v>14</v>
      </c>
      <c r="B126" s="327">
        <f t="shared" si="1"/>
        <v>45388</v>
      </c>
      <c r="C126" s="332">
        <v>15</v>
      </c>
      <c r="D126" s="324">
        <v>56</v>
      </c>
      <c r="E126" s="325">
        <v>6.6150000000000002</v>
      </c>
      <c r="F126" s="326">
        <f>IFERROR(Queso!$D126/Queso!$E126,"")</f>
        <v>8.4656084656084651</v>
      </c>
      <c r="G126" s="231" t="s">
        <v>572</v>
      </c>
      <c r="H126" s="40">
        <v>5</v>
      </c>
      <c r="I126" s="305">
        <f>H126*Queso!$E126</f>
        <v>33.075000000000003</v>
      </c>
      <c r="J126" s="70"/>
      <c r="K126" s="292" t="s">
        <v>233</v>
      </c>
      <c r="L126" s="295">
        <f>S127</f>
        <v>46.071428571428569</v>
      </c>
      <c r="M126" s="295">
        <f>L126*7</f>
        <v>322.5</v>
      </c>
      <c r="N126" s="295">
        <f>L126*30</f>
        <v>1382.1428571428571</v>
      </c>
      <c r="O126" s="39">
        <v>3</v>
      </c>
      <c r="P126" s="307" t="s">
        <v>168</v>
      </c>
      <c r="Q126" s="309">
        <f>O126*$J$119/30</f>
        <v>2.5</v>
      </c>
      <c r="R126" s="309">
        <v>4</v>
      </c>
      <c r="S126" s="308">
        <f>Q126*R126</f>
        <v>10</v>
      </c>
    </row>
    <row r="127" spans="1:19" ht="15.75" x14ac:dyDescent="0.25">
      <c r="A127" s="337">
        <f>WEEKNUM(Queso!$B127)</f>
        <v>15</v>
      </c>
      <c r="B127" s="327">
        <f t="shared" si="1"/>
        <v>45389</v>
      </c>
      <c r="C127" s="331">
        <v>15</v>
      </c>
      <c r="D127" s="328">
        <v>57</v>
      </c>
      <c r="E127" s="329">
        <v>6.6849999999999996</v>
      </c>
      <c r="F127" s="330">
        <f>IFERROR(Queso!$D127/Queso!$E127,"")</f>
        <v>8.526551982049364</v>
      </c>
      <c r="G127" s="231" t="s">
        <v>508</v>
      </c>
      <c r="H127" s="40">
        <v>5</v>
      </c>
      <c r="I127" s="305">
        <f>H127*Queso!$E127</f>
        <v>33.424999999999997</v>
      </c>
      <c r="J127" s="70"/>
      <c r="K127" s="292" t="s">
        <v>523</v>
      </c>
      <c r="L127" s="295">
        <f>N127/30</f>
        <v>5</v>
      </c>
      <c r="M127" s="295">
        <f>L127*7</f>
        <v>35</v>
      </c>
      <c r="N127" s="295">
        <v>150</v>
      </c>
      <c r="O127" s="39">
        <f>SUM(O124:O126)</f>
        <v>7</v>
      </c>
      <c r="P127" s="307"/>
      <c r="Q127" s="307"/>
      <c r="R127" s="309"/>
      <c r="S127" s="308">
        <f>SUM(S124:S126)</f>
        <v>46.071428571428569</v>
      </c>
    </row>
    <row r="128" spans="1:19" ht="15.75" x14ac:dyDescent="0.25">
      <c r="A128" s="337">
        <f>WEEKNUM(Queso!$B128)</f>
        <v>15</v>
      </c>
      <c r="B128" s="327">
        <f t="shared" si="1"/>
        <v>45390</v>
      </c>
      <c r="C128" s="332">
        <v>15</v>
      </c>
      <c r="D128" s="324">
        <v>54</v>
      </c>
      <c r="E128" s="325">
        <v>6.33</v>
      </c>
      <c r="F128" s="326">
        <f>IFERROR(Queso!$D128/Queso!$E128,"")</f>
        <v>8.5308056872037916</v>
      </c>
      <c r="G128" s="231" t="s">
        <v>508</v>
      </c>
      <c r="H128" s="40">
        <v>5</v>
      </c>
      <c r="I128" s="305">
        <f>H128*Queso!$E128</f>
        <v>31.65</v>
      </c>
      <c r="J128" s="70"/>
      <c r="K128" s="292" t="s">
        <v>524</v>
      </c>
      <c r="L128" s="295">
        <f>N128/30</f>
        <v>5</v>
      </c>
      <c r="M128" s="295">
        <f>L128*7</f>
        <v>35</v>
      </c>
      <c r="N128" s="295">
        <v>150</v>
      </c>
      <c r="O128" s="70"/>
      <c r="P128" s="70"/>
      <c r="Q128" s="70"/>
      <c r="R128" s="70"/>
      <c r="S128" s="70"/>
    </row>
    <row r="129" spans="1:19" ht="15.75" x14ac:dyDescent="0.25">
      <c r="A129" s="337">
        <f>WEEKNUM(Queso!$B129)</f>
        <v>15</v>
      </c>
      <c r="B129" s="327">
        <f t="shared" si="1"/>
        <v>45391</v>
      </c>
      <c r="C129" s="331">
        <v>15</v>
      </c>
      <c r="D129" s="328">
        <v>53</v>
      </c>
      <c r="E129" s="329">
        <v>6.625</v>
      </c>
      <c r="F129" s="330">
        <f>IFERROR(Queso!$D129/Queso!$E129,"")</f>
        <v>8</v>
      </c>
      <c r="G129" s="231" t="s">
        <v>508</v>
      </c>
      <c r="H129" s="40">
        <v>5</v>
      </c>
      <c r="I129" s="305">
        <f>H129*Queso!$E129</f>
        <v>33.125</v>
      </c>
      <c r="J129" s="63"/>
      <c r="K129" s="292" t="s">
        <v>560</v>
      </c>
      <c r="L129" s="295">
        <v>15</v>
      </c>
      <c r="M129" s="295">
        <f>L129*7</f>
        <v>105</v>
      </c>
      <c r="N129" s="295">
        <f>L129*30</f>
        <v>450</v>
      </c>
      <c r="O129" s="70"/>
      <c r="P129" s="70"/>
      <c r="Q129" s="70"/>
      <c r="R129" s="70"/>
      <c r="S129" s="70"/>
    </row>
    <row r="130" spans="1:19" ht="15.75" x14ac:dyDescent="0.25">
      <c r="A130" s="337">
        <f>WEEKNUM(Queso!$B130)</f>
        <v>15</v>
      </c>
      <c r="B130" s="327">
        <f t="shared" si="1"/>
        <v>45392</v>
      </c>
      <c r="C130" s="332">
        <v>15</v>
      </c>
      <c r="D130" s="324">
        <v>52</v>
      </c>
      <c r="E130" s="325">
        <v>6.3949999999999996</v>
      </c>
      <c r="F130" s="326">
        <f>IFERROR(Queso!$D130/Queso!$E130,"")</f>
        <v>8.1313526192337768</v>
      </c>
      <c r="G130" s="231" t="s">
        <v>508</v>
      </c>
      <c r="H130" s="40">
        <v>5</v>
      </c>
      <c r="I130" s="305">
        <f>H130*Queso!$E130</f>
        <v>31.974999999999998</v>
      </c>
      <c r="J130" s="70"/>
      <c r="K130" s="296" t="s">
        <v>531</v>
      </c>
      <c r="L130" s="295">
        <f>SUM(L124:L129)</f>
        <v>101.07142857142857</v>
      </c>
      <c r="M130" s="295">
        <f>SUM(M124:M129)</f>
        <v>702.5</v>
      </c>
      <c r="N130" s="295">
        <f>SUM(N124:N129)</f>
        <v>3032.1428571428569</v>
      </c>
      <c r="O130" s="70"/>
      <c r="P130" s="70"/>
      <c r="Q130" s="70"/>
      <c r="R130" s="70"/>
      <c r="S130" s="70"/>
    </row>
    <row r="131" spans="1:19" x14ac:dyDescent="0.25">
      <c r="A131" s="337">
        <f>WEEKNUM(Queso!$B131)</f>
        <v>15</v>
      </c>
      <c r="B131" s="327">
        <f t="shared" si="1"/>
        <v>45393</v>
      </c>
      <c r="C131" s="331">
        <v>15</v>
      </c>
      <c r="D131" s="328">
        <v>52</v>
      </c>
      <c r="E131" s="329">
        <v>6.3049999999999997</v>
      </c>
      <c r="F131" s="330">
        <f>IFERROR(Queso!$D131/Queso!$E131,"")</f>
        <v>8.247422680412372</v>
      </c>
      <c r="G131" s="231" t="s">
        <v>548</v>
      </c>
      <c r="H131" s="40">
        <v>5</v>
      </c>
      <c r="I131" s="305">
        <f>H131*Queso!$E131</f>
        <v>31.524999999999999</v>
      </c>
      <c r="J131" s="70"/>
      <c r="K131" s="70"/>
      <c r="L131" s="70">
        <f>L130/O131</f>
        <v>183.76623376623374</v>
      </c>
      <c r="M131" s="70"/>
      <c r="N131" s="70"/>
      <c r="O131" s="292">
        <v>0.55000000000000004</v>
      </c>
      <c r="P131" s="70"/>
      <c r="Q131" s="70"/>
      <c r="R131" s="70"/>
      <c r="S131" s="70"/>
    </row>
    <row r="132" spans="1:19" x14ac:dyDescent="0.25">
      <c r="A132" s="337">
        <f>WEEKNUM(Queso!$B132)</f>
        <v>15</v>
      </c>
      <c r="B132" s="327">
        <f t="shared" si="1"/>
        <v>45394</v>
      </c>
      <c r="C132" s="332">
        <v>15</v>
      </c>
      <c r="D132" s="324">
        <v>51</v>
      </c>
      <c r="E132" s="325">
        <v>6.2149999999999999</v>
      </c>
      <c r="F132" s="326">
        <f>IFERROR(Queso!$D132/Queso!$E132,"")</f>
        <v>8.2059533386967018</v>
      </c>
      <c r="G132" s="231" t="s">
        <v>63</v>
      </c>
      <c r="H132" s="40">
        <v>5</v>
      </c>
      <c r="I132" s="305">
        <f>H132*Queso!$E132</f>
        <v>31.074999999999999</v>
      </c>
      <c r="L132" s="100"/>
    </row>
    <row r="133" spans="1:19" x14ac:dyDescent="0.25">
      <c r="A133" s="337">
        <f>WEEKNUM(Queso!$B133)</f>
        <v>15</v>
      </c>
      <c r="B133" s="327">
        <f t="shared" ref="B133:B171" si="2">B132+1</f>
        <v>45395</v>
      </c>
      <c r="C133" s="331">
        <v>15</v>
      </c>
      <c r="D133" s="328">
        <v>50</v>
      </c>
      <c r="E133" s="329">
        <v>6.01</v>
      </c>
      <c r="F133" s="330">
        <f>IFERROR(Queso!$D133/Queso!$E133,"")</f>
        <v>8.3194675540765388</v>
      </c>
      <c r="G133" s="231" t="s">
        <v>548</v>
      </c>
      <c r="H133" s="40">
        <v>5</v>
      </c>
      <c r="I133" s="305">
        <f>H133*Queso!$E133</f>
        <v>30.049999999999997</v>
      </c>
    </row>
    <row r="134" spans="1:19" x14ac:dyDescent="0.25">
      <c r="A134" s="337">
        <f>WEEKNUM(Queso!$B134)</f>
        <v>16</v>
      </c>
      <c r="B134" s="327">
        <f t="shared" si="2"/>
        <v>45396</v>
      </c>
      <c r="C134" s="332">
        <v>15</v>
      </c>
      <c r="D134" s="324">
        <v>49</v>
      </c>
      <c r="E134" s="325">
        <v>6.2750000000000004</v>
      </c>
      <c r="F134" s="326">
        <f>IFERROR(Queso!$D134/Queso!$E134,"")</f>
        <v>7.8087649402390431</v>
      </c>
      <c r="G134" s="231" t="s">
        <v>548</v>
      </c>
      <c r="H134" s="40">
        <v>5</v>
      </c>
      <c r="I134" s="305">
        <f>H134*Queso!$E134</f>
        <v>31.375</v>
      </c>
    </row>
    <row r="135" spans="1:19" x14ac:dyDescent="0.25">
      <c r="A135" s="337">
        <f>WEEKNUM(Queso!$B135)</f>
        <v>16</v>
      </c>
      <c r="B135" s="327">
        <f t="shared" si="2"/>
        <v>45397</v>
      </c>
      <c r="C135" s="331">
        <v>15</v>
      </c>
      <c r="D135" s="328">
        <v>51</v>
      </c>
      <c r="E135" s="329">
        <v>6.2750000000000004</v>
      </c>
      <c r="F135" s="330">
        <f>IFERROR(Queso!$D135/Queso!$E135,"")</f>
        <v>8.1274900398406373</v>
      </c>
      <c r="G135" s="231" t="s">
        <v>548</v>
      </c>
      <c r="H135" s="40">
        <v>5</v>
      </c>
      <c r="I135" s="305">
        <f>H135*Queso!$E135</f>
        <v>31.375</v>
      </c>
      <c r="K135" s="339">
        <v>17</v>
      </c>
      <c r="L135" s="341">
        <f>(K135*7)+45284</f>
        <v>45403</v>
      </c>
      <c r="M135" s="70"/>
      <c r="N135" s="320">
        <f>L135+7</f>
        <v>45410</v>
      </c>
      <c r="O135" s="70"/>
    </row>
    <row r="136" spans="1:19" x14ac:dyDescent="0.25">
      <c r="A136" s="337">
        <f>WEEKNUM(Queso!$B136)</f>
        <v>16</v>
      </c>
      <c r="B136" s="327">
        <f t="shared" si="2"/>
        <v>45398</v>
      </c>
      <c r="C136" s="332">
        <v>15</v>
      </c>
      <c r="D136" s="324">
        <v>51</v>
      </c>
      <c r="E136" s="325">
        <v>6.37</v>
      </c>
      <c r="F136" s="326">
        <f>IFERROR(Queso!$D136/Queso!$E136,"")</f>
        <v>8.0062794348508639</v>
      </c>
      <c r="G136" s="231" t="s">
        <v>548</v>
      </c>
      <c r="H136" s="40">
        <v>5</v>
      </c>
      <c r="I136" s="305">
        <f>H136*Queso!$E136</f>
        <v>31.85</v>
      </c>
      <c r="K136" s="70" t="s">
        <v>508</v>
      </c>
      <c r="L136" s="63">
        <f>COUNTIFS(Tabla14[Sem],$K$135,Tabla14[Cliente],K136)</f>
        <v>2</v>
      </c>
      <c r="M136" s="63">
        <f>SUMIFS(Tabla14[Peso Salm],Tabla14[Sem],$K$135,Tabla14[Cliente],K136)</f>
        <v>11.77</v>
      </c>
      <c r="N136" s="63">
        <f>IFERROR((SUMIFS(Tabla14[Precio],Tabla14[Sem],$K$135,Tabla14[Cliente],K136))/L136,0)</f>
        <v>5</v>
      </c>
      <c r="O136" s="63">
        <f>N136*M136</f>
        <v>58.849999999999994</v>
      </c>
    </row>
    <row r="137" spans="1:19" x14ac:dyDescent="0.25">
      <c r="A137" s="337">
        <f>WEEKNUM(Queso!$B137)</f>
        <v>16</v>
      </c>
      <c r="B137" s="327">
        <f t="shared" si="2"/>
        <v>45399</v>
      </c>
      <c r="C137" s="331">
        <v>15</v>
      </c>
      <c r="D137" s="328">
        <v>50</v>
      </c>
      <c r="E137" s="329">
        <v>6.0549999999999997</v>
      </c>
      <c r="F137" s="330">
        <f>IFERROR(Queso!$D137/Queso!$E137,"")</f>
        <v>8.2576383154417847</v>
      </c>
      <c r="G137" s="231" t="s">
        <v>516</v>
      </c>
      <c r="H137" s="40">
        <v>5</v>
      </c>
      <c r="I137" s="305">
        <f>H137*Queso!$E137</f>
        <v>30.274999999999999</v>
      </c>
      <c r="K137" s="70" t="s">
        <v>544</v>
      </c>
      <c r="L137" s="63">
        <f>COUNTIFS(Tabla14[Sem],$K$135,Tabla14[Cliente],K137)</f>
        <v>0</v>
      </c>
      <c r="M137" s="63">
        <f>SUMIFS(Tabla14[Peso Salm],Tabla14[Sem],$K$135,Tabla14[Cliente],K137)</f>
        <v>0</v>
      </c>
      <c r="N137" s="63">
        <f>IFERROR((SUMIFS(Tabla14[Precio],Tabla14[Sem],$K$135,Tabla14[Cliente],K137))/L137,0)</f>
        <v>0</v>
      </c>
      <c r="O137" s="63">
        <f>N137*M137</f>
        <v>0</v>
      </c>
    </row>
    <row r="138" spans="1:19" x14ac:dyDescent="0.25">
      <c r="A138" s="337">
        <f>WEEKNUM(Queso!$B138)</f>
        <v>16</v>
      </c>
      <c r="B138" s="327">
        <f t="shared" si="2"/>
        <v>45400</v>
      </c>
      <c r="C138" s="332">
        <v>15</v>
      </c>
      <c r="D138" s="324">
        <v>49</v>
      </c>
      <c r="E138" s="325">
        <v>6.1849999999999996</v>
      </c>
      <c r="F138" s="326">
        <f>IFERROR(Queso!$D138/Queso!$E138,"")</f>
        <v>7.9223928860145518</v>
      </c>
      <c r="G138" s="231" t="s">
        <v>516</v>
      </c>
      <c r="H138" s="40">
        <v>5</v>
      </c>
      <c r="I138" s="305">
        <f>H138*Queso!$E138</f>
        <v>30.924999999999997</v>
      </c>
      <c r="K138" s="70" t="s">
        <v>548</v>
      </c>
      <c r="L138" s="63">
        <f>COUNTIFS(Tabla14[Sem],$K$135,Tabla14[Cliente],K138)</f>
        <v>0</v>
      </c>
      <c r="M138" s="63">
        <f>SUMIFS(Tabla14[Peso Salm],Tabla14[Sem],$K$135,Tabla14[Cliente],K138)</f>
        <v>0</v>
      </c>
      <c r="N138" s="63">
        <f>IFERROR((SUMIFS(Tabla14[Precio],Tabla14[Sem],$K$135,Tabla14[Cliente],K138))/L138,0)</f>
        <v>0</v>
      </c>
      <c r="O138" s="63">
        <f>N138*M138</f>
        <v>0</v>
      </c>
    </row>
    <row r="139" spans="1:19" x14ac:dyDescent="0.25">
      <c r="A139" s="337">
        <f>WEEKNUM(Queso!$B139)</f>
        <v>16</v>
      </c>
      <c r="B139" s="327">
        <f t="shared" si="2"/>
        <v>45401</v>
      </c>
      <c r="C139" s="331">
        <v>15</v>
      </c>
      <c r="D139" s="328">
        <v>49</v>
      </c>
      <c r="E139" s="329">
        <v>5.915</v>
      </c>
      <c r="F139" s="330">
        <f>IFERROR(Queso!$D139/Queso!$E139,"")</f>
        <v>8.2840236686390529</v>
      </c>
      <c r="G139" s="231" t="s">
        <v>516</v>
      </c>
      <c r="H139" s="40">
        <v>5</v>
      </c>
      <c r="I139" s="305">
        <f>H139*Queso!$E139</f>
        <v>29.574999999999999</v>
      </c>
      <c r="K139" s="70" t="s">
        <v>226</v>
      </c>
      <c r="L139" s="63">
        <f>COUNTIFS(Tabla14[Sem],$K$135,Tabla14[Cliente],K139)</f>
        <v>0</v>
      </c>
      <c r="M139" s="63">
        <f>SUMIFS(Tabla14[Peso Salm],Tabla14[Sem],$K$135,Tabla14[Cliente],K139)</f>
        <v>0</v>
      </c>
      <c r="N139" s="63">
        <f>IFERROR((SUMIFS(Tabla14[Precio],Tabla14[Sem],$K$135,Tabla14[Cliente],K139))/L139,0)</f>
        <v>0</v>
      </c>
      <c r="O139" s="63">
        <f>N139*M139</f>
        <v>0</v>
      </c>
    </row>
    <row r="140" spans="1:19" x14ac:dyDescent="0.25">
      <c r="A140" s="337">
        <f>WEEKNUM(Queso!$B140)</f>
        <v>16</v>
      </c>
      <c r="B140" s="327">
        <f t="shared" si="2"/>
        <v>45402</v>
      </c>
      <c r="C140" s="332">
        <v>15</v>
      </c>
      <c r="D140" s="324">
        <v>51</v>
      </c>
      <c r="E140" s="325">
        <v>6.72</v>
      </c>
      <c r="F140" s="326">
        <f>IFERROR(Queso!$D140/Queso!$E140,"")</f>
        <v>7.5892857142857144</v>
      </c>
      <c r="G140" s="231" t="s">
        <v>516</v>
      </c>
      <c r="H140" s="40">
        <v>5</v>
      </c>
      <c r="I140" s="305">
        <f>H140*Queso!$E140</f>
        <v>33.6</v>
      </c>
      <c r="K140" s="70" t="s">
        <v>63</v>
      </c>
      <c r="L140" s="63">
        <f>COUNTIFS(Tabla14[Sem],$K$135,Tabla14[Cliente],K140)</f>
        <v>0</v>
      </c>
      <c r="M140" s="63">
        <f>SUMIFS(Tabla14[Peso Salm],Tabla14[Sem],$K$135,Tabla14[Cliente],K140)</f>
        <v>0</v>
      </c>
      <c r="N140" s="63">
        <f>IFERROR((SUMIFS(Tabla14[Precio],Tabla14[Sem],$K$135,Tabla14[Cliente],K140))/L140,0)</f>
        <v>0</v>
      </c>
      <c r="O140" s="63">
        <f>N140*M140</f>
        <v>0</v>
      </c>
    </row>
    <row r="141" spans="1:19" ht="15.75" x14ac:dyDescent="0.25">
      <c r="A141" s="337">
        <f>WEEKNUM(Queso!$B141)</f>
        <v>17</v>
      </c>
      <c r="B141" s="327">
        <f t="shared" si="2"/>
        <v>45403</v>
      </c>
      <c r="C141" s="331">
        <v>15</v>
      </c>
      <c r="D141" s="328">
        <v>47</v>
      </c>
      <c r="E141" s="329">
        <v>6.0549999999999997</v>
      </c>
      <c r="F141" s="330">
        <f>IFERROR(Queso!$D141/Queso!$E141,"")</f>
        <v>7.762180016515277</v>
      </c>
      <c r="G141" s="231" t="s">
        <v>516</v>
      </c>
      <c r="H141" s="40">
        <v>5</v>
      </c>
      <c r="I141" s="305">
        <f>H141*Queso!$E141</f>
        <v>30.274999999999999</v>
      </c>
      <c r="K141" s="70"/>
      <c r="L141" s="290">
        <f>SUM(L136:L140)</f>
        <v>2</v>
      </c>
      <c r="M141" s="290">
        <f>SUM(M136:M140)</f>
        <v>11.77</v>
      </c>
      <c r="N141" s="290">
        <f>O141/M141</f>
        <v>5</v>
      </c>
      <c r="O141" s="290">
        <f>SUM(O136:O140)</f>
        <v>58.849999999999994</v>
      </c>
    </row>
    <row r="142" spans="1:19" x14ac:dyDescent="0.25">
      <c r="A142" s="337">
        <f>WEEKNUM(Queso!$B142)</f>
        <v>17</v>
      </c>
      <c r="B142" s="327">
        <f t="shared" si="2"/>
        <v>45404</v>
      </c>
      <c r="C142" s="332">
        <v>15</v>
      </c>
      <c r="D142" s="324">
        <v>50</v>
      </c>
      <c r="E142" s="325">
        <v>5.7149999999999999</v>
      </c>
      <c r="F142" s="326">
        <f>IFERROR(Queso!$D142/Queso!$E142,"")</f>
        <v>8.7489063867016625</v>
      </c>
      <c r="G142" s="231" t="s">
        <v>516</v>
      </c>
      <c r="H142" s="40">
        <v>5</v>
      </c>
      <c r="I142" s="305">
        <f>H142*Queso!$E142</f>
        <v>28.574999999999999</v>
      </c>
    </row>
    <row r="143" spans="1:19" x14ac:dyDescent="0.25">
      <c r="A143" s="337">
        <f>WEEKNUM(Queso!$B143)</f>
        <v>17</v>
      </c>
      <c r="B143" s="327">
        <f t="shared" si="2"/>
        <v>45405</v>
      </c>
      <c r="C143" s="331">
        <v>15</v>
      </c>
      <c r="D143" s="328">
        <v>50</v>
      </c>
      <c r="E143" s="329">
        <v>6.04</v>
      </c>
      <c r="F143" s="330">
        <f>IFERROR(Queso!$D143/Queso!$E143,"")</f>
        <v>8.2781456953642376</v>
      </c>
      <c r="G143" s="231"/>
      <c r="H143" s="40">
        <v>6</v>
      </c>
      <c r="I143" s="305">
        <f>H143*Queso!$E143</f>
        <v>36.24</v>
      </c>
    </row>
    <row r="144" spans="1:19" x14ac:dyDescent="0.25">
      <c r="A144" s="337">
        <f>WEEKNUM(Queso!$B144)</f>
        <v>17</v>
      </c>
      <c r="B144" s="327">
        <f t="shared" si="2"/>
        <v>45406</v>
      </c>
      <c r="C144" s="332">
        <v>15</v>
      </c>
      <c r="D144" s="324">
        <v>51</v>
      </c>
      <c r="E144" s="325">
        <v>6.2</v>
      </c>
      <c r="F144" s="326">
        <f>IFERROR(Queso!$D144/Queso!$E144,"")</f>
        <v>8.2258064516129021</v>
      </c>
      <c r="G144" s="231"/>
      <c r="H144" s="40">
        <v>5</v>
      </c>
      <c r="I144" s="305">
        <f>H144*Queso!$E144</f>
        <v>31</v>
      </c>
    </row>
    <row r="145" spans="1:9" x14ac:dyDescent="0.25">
      <c r="A145" s="337">
        <f>WEEKNUM(Queso!$B145)</f>
        <v>17</v>
      </c>
      <c r="B145" s="327">
        <f t="shared" si="2"/>
        <v>45407</v>
      </c>
      <c r="C145" s="331">
        <v>15</v>
      </c>
      <c r="D145" s="328">
        <v>50</v>
      </c>
      <c r="E145" s="329">
        <v>6.5149999999999997</v>
      </c>
      <c r="F145" s="330">
        <f>IFERROR(Queso!$D145/Queso!$E145,"")</f>
        <v>7.6745970836531088</v>
      </c>
      <c r="G145" s="231"/>
      <c r="H145" s="40"/>
      <c r="I145" s="388"/>
    </row>
    <row r="146" spans="1:9" x14ac:dyDescent="0.25">
      <c r="A146" s="337">
        <f>WEEKNUM(Queso!$B146)</f>
        <v>17</v>
      </c>
      <c r="B146" s="327">
        <f t="shared" si="2"/>
        <v>45408</v>
      </c>
      <c r="C146" s="332">
        <v>15</v>
      </c>
      <c r="D146" s="324">
        <v>51</v>
      </c>
      <c r="E146" s="325">
        <v>6.6550000000000002</v>
      </c>
      <c r="F146" s="326">
        <f>IFERROR(Queso!$D146/Queso!$E146,"")</f>
        <v>7.663410969196093</v>
      </c>
      <c r="G146" s="231"/>
      <c r="H146" s="40"/>
      <c r="I146" s="388"/>
    </row>
    <row r="147" spans="1:9" x14ac:dyDescent="0.25">
      <c r="A147" s="337">
        <f>WEEKNUM(Queso!$B147)</f>
        <v>17</v>
      </c>
      <c r="B147" s="327">
        <f t="shared" si="2"/>
        <v>45409</v>
      </c>
      <c r="C147" s="331">
        <v>15</v>
      </c>
      <c r="D147" s="328">
        <v>54</v>
      </c>
      <c r="E147" s="329">
        <v>7.25</v>
      </c>
      <c r="F147" s="330">
        <f>IFERROR(Queso!$D147/Queso!$E147,"")</f>
        <v>7.4482758620689653</v>
      </c>
      <c r="G147" s="231"/>
      <c r="H147" s="40"/>
      <c r="I147" s="388"/>
    </row>
    <row r="148" spans="1:9" x14ac:dyDescent="0.25">
      <c r="A148" s="337">
        <f>WEEKNUM(Queso!$B148)</f>
        <v>18</v>
      </c>
      <c r="B148" s="327">
        <f t="shared" si="2"/>
        <v>45410</v>
      </c>
      <c r="C148" s="332">
        <v>15</v>
      </c>
      <c r="D148" s="324">
        <v>53</v>
      </c>
      <c r="E148" s="325">
        <v>6.7750000000000004</v>
      </c>
      <c r="F148" s="326">
        <f>IFERROR(Queso!$D148/Queso!$E148,"")</f>
        <v>7.8228782287822876</v>
      </c>
      <c r="G148" s="231" t="s">
        <v>63</v>
      </c>
      <c r="H148" s="40"/>
      <c r="I148" s="388"/>
    </row>
    <row r="149" spans="1:9" x14ac:dyDescent="0.25">
      <c r="A149" s="337">
        <f>WEEKNUM(Queso!$B149)</f>
        <v>18</v>
      </c>
      <c r="B149" s="327">
        <f t="shared" si="2"/>
        <v>45411</v>
      </c>
      <c r="C149" s="331">
        <v>15</v>
      </c>
      <c r="D149" s="328">
        <v>61</v>
      </c>
      <c r="E149" s="329">
        <v>8.24</v>
      </c>
      <c r="F149" s="330">
        <f>IFERROR(Queso!$D149/Queso!$E149,"")</f>
        <v>7.4029126213592233</v>
      </c>
      <c r="G149" s="231"/>
      <c r="H149" s="40"/>
      <c r="I149" s="388"/>
    </row>
    <row r="150" spans="1:9" x14ac:dyDescent="0.25">
      <c r="A150" s="337">
        <f>WEEKNUM(Queso!$B150)</f>
        <v>18</v>
      </c>
      <c r="B150" s="327">
        <f t="shared" si="2"/>
        <v>45412</v>
      </c>
      <c r="C150" s="332">
        <v>15</v>
      </c>
      <c r="D150" s="324">
        <v>63</v>
      </c>
      <c r="E150" s="325">
        <v>8.15</v>
      </c>
      <c r="F150" s="326">
        <f>IFERROR(Queso!$D150/Queso!$E150,"")</f>
        <v>7.7300613496932513</v>
      </c>
      <c r="G150" s="231"/>
      <c r="H150" s="40"/>
      <c r="I150" s="388"/>
    </row>
    <row r="151" spans="1:9" x14ac:dyDescent="0.25">
      <c r="A151" s="337">
        <f>WEEKNUM(Queso!$B151)</f>
        <v>18</v>
      </c>
      <c r="B151" s="327">
        <f t="shared" si="2"/>
        <v>45413</v>
      </c>
      <c r="C151" s="331">
        <v>15</v>
      </c>
      <c r="D151" s="328">
        <v>67</v>
      </c>
      <c r="E151" s="329">
        <v>7.86</v>
      </c>
      <c r="F151" s="330">
        <f>IFERROR(Queso!$D151/Queso!$E151,"")</f>
        <v>8.5241730279898213</v>
      </c>
      <c r="G151" s="231"/>
      <c r="H151" s="40"/>
      <c r="I151" s="388"/>
    </row>
    <row r="152" spans="1:9" x14ac:dyDescent="0.25">
      <c r="A152" s="337">
        <f>WEEKNUM(Queso!$B152)</f>
        <v>18</v>
      </c>
      <c r="B152" s="327">
        <f t="shared" si="2"/>
        <v>45414</v>
      </c>
      <c r="C152" s="332">
        <v>15</v>
      </c>
      <c r="D152" s="324">
        <v>72</v>
      </c>
      <c r="E152" s="325">
        <v>8.83</v>
      </c>
      <c r="F152" s="326">
        <f>IFERROR(Queso!$D152/Queso!$E152,"")</f>
        <v>8.1540203850509627</v>
      </c>
      <c r="G152" s="231"/>
      <c r="H152" s="40"/>
      <c r="I152" s="388"/>
    </row>
    <row r="153" spans="1:9" x14ac:dyDescent="0.25">
      <c r="A153" s="337">
        <f>WEEKNUM(Queso!$B153)</f>
        <v>18</v>
      </c>
      <c r="B153" s="327">
        <f t="shared" si="2"/>
        <v>45415</v>
      </c>
      <c r="C153" s="331">
        <v>15</v>
      </c>
      <c r="D153" s="328">
        <v>69</v>
      </c>
      <c r="E153" s="329">
        <v>8.4849999999999994</v>
      </c>
      <c r="F153" s="330">
        <f>IFERROR(Queso!$D153/Queso!$E153,"")</f>
        <v>8.1319976428992344</v>
      </c>
      <c r="G153" s="231"/>
      <c r="H153" s="40"/>
      <c r="I153" s="392"/>
    </row>
    <row r="154" spans="1:9" x14ac:dyDescent="0.25">
      <c r="A154" s="337">
        <f>WEEKNUM(Queso!$B154)</f>
        <v>18</v>
      </c>
      <c r="B154" s="327">
        <f t="shared" si="2"/>
        <v>45416</v>
      </c>
      <c r="C154" s="332">
        <v>15</v>
      </c>
      <c r="D154" s="324">
        <v>73</v>
      </c>
      <c r="E154" s="325">
        <v>9.0250000000000004</v>
      </c>
      <c r="F154" s="326">
        <f>IFERROR(Queso!$D154/Queso!$E154,"")</f>
        <v>8.0886426592797775</v>
      </c>
      <c r="G154" s="231" t="s">
        <v>572</v>
      </c>
      <c r="H154" s="40"/>
      <c r="I154" s="392"/>
    </row>
    <row r="155" spans="1:9" x14ac:dyDescent="0.25">
      <c r="A155" s="337">
        <f>WEEKNUM(Queso!$B155)</f>
        <v>19</v>
      </c>
      <c r="B155" s="327">
        <f t="shared" si="2"/>
        <v>45417</v>
      </c>
      <c r="C155" s="331">
        <v>15</v>
      </c>
      <c r="D155" s="328">
        <v>73</v>
      </c>
      <c r="E155" s="329">
        <v>9.4600000000000009</v>
      </c>
      <c r="F155" s="330">
        <f>IFERROR(Queso!$D155/Queso!$E155,"")</f>
        <v>7.7167019027484134</v>
      </c>
      <c r="G155" s="231" t="s">
        <v>63</v>
      </c>
      <c r="H155" s="40"/>
      <c r="I155" s="392"/>
    </row>
    <row r="156" spans="1:9" x14ac:dyDescent="0.25">
      <c r="A156" s="337">
        <f>WEEKNUM(Queso!$B156)</f>
        <v>19</v>
      </c>
      <c r="B156" s="327">
        <f t="shared" si="2"/>
        <v>45418</v>
      </c>
      <c r="C156" s="332">
        <v>15</v>
      </c>
      <c r="D156" s="324">
        <v>71</v>
      </c>
      <c r="E156" s="325">
        <v>8.9</v>
      </c>
      <c r="F156" s="326">
        <f>IFERROR(Queso!$D156/Queso!$E156,"")</f>
        <v>7.97752808988764</v>
      </c>
      <c r="G156" s="231" t="s">
        <v>508</v>
      </c>
      <c r="H156" s="40"/>
      <c r="I156" s="392"/>
    </row>
    <row r="157" spans="1:9" x14ac:dyDescent="0.25">
      <c r="A157" s="337">
        <f>WEEKNUM(Queso!$B157)</f>
        <v>19</v>
      </c>
      <c r="B157" s="327">
        <f t="shared" si="2"/>
        <v>45419</v>
      </c>
      <c r="C157" s="331">
        <v>15</v>
      </c>
      <c r="D157" s="328">
        <v>73</v>
      </c>
      <c r="E157" s="329">
        <v>9.1999999999999993</v>
      </c>
      <c r="F157" s="330">
        <f>IFERROR(Queso!$D157/Queso!$E157,"")</f>
        <v>7.9347826086956532</v>
      </c>
      <c r="G157" s="231" t="s">
        <v>508</v>
      </c>
      <c r="H157" s="40"/>
      <c r="I157" s="392"/>
    </row>
    <row r="158" spans="1:9" x14ac:dyDescent="0.25">
      <c r="A158" s="337">
        <f>WEEKNUM(Queso!$B158)</f>
        <v>19</v>
      </c>
      <c r="B158" s="327">
        <f t="shared" si="2"/>
        <v>45420</v>
      </c>
      <c r="C158" s="332">
        <v>15</v>
      </c>
      <c r="D158" s="324">
        <v>77</v>
      </c>
      <c r="E158" s="325">
        <v>9.42</v>
      </c>
      <c r="F158" s="326">
        <f>IFERROR(Queso!$D158/Queso!$E158,"")</f>
        <v>8.1740976645435239</v>
      </c>
      <c r="G158" s="231" t="s">
        <v>548</v>
      </c>
      <c r="H158" s="40"/>
      <c r="I158" s="392"/>
    </row>
    <row r="159" spans="1:9" x14ac:dyDescent="0.25">
      <c r="A159" s="337">
        <f>WEEKNUM(Queso!$B159)</f>
        <v>19</v>
      </c>
      <c r="B159" s="327">
        <f t="shared" si="2"/>
        <v>45421</v>
      </c>
      <c r="C159" s="331">
        <v>15</v>
      </c>
      <c r="D159" s="328">
        <v>73</v>
      </c>
      <c r="E159" s="329">
        <v>8.6999999999999993</v>
      </c>
      <c r="F159" s="330">
        <f>IFERROR(Queso!$D159/Queso!$E159,"")</f>
        <v>8.3908045977011501</v>
      </c>
      <c r="G159" s="231" t="s">
        <v>548</v>
      </c>
      <c r="H159" s="40"/>
      <c r="I159" s="392"/>
    </row>
    <row r="160" spans="1:9" x14ac:dyDescent="0.25">
      <c r="A160" s="337">
        <f>WEEKNUM(Queso!$B160)</f>
        <v>19</v>
      </c>
      <c r="B160" s="327">
        <f t="shared" si="2"/>
        <v>45422</v>
      </c>
      <c r="C160" s="332">
        <v>15</v>
      </c>
      <c r="D160" s="324">
        <v>76</v>
      </c>
      <c r="E160" s="325">
        <v>9.49</v>
      </c>
      <c r="F160" s="326">
        <f>IFERROR(Queso!$D160/Queso!$E160,"")</f>
        <v>8.0084299262381453</v>
      </c>
      <c r="G160" s="231" t="s">
        <v>508</v>
      </c>
      <c r="H160" s="40"/>
      <c r="I160" s="392"/>
    </row>
    <row r="161" spans="1:9" x14ac:dyDescent="0.25">
      <c r="A161" s="337">
        <f>WEEKNUM(Queso!$B161)</f>
        <v>19</v>
      </c>
      <c r="B161" s="327">
        <f>B160+1</f>
        <v>45423</v>
      </c>
      <c r="C161" s="331">
        <v>15</v>
      </c>
      <c r="D161" s="328">
        <v>77</v>
      </c>
      <c r="E161" s="329">
        <v>9.89</v>
      </c>
      <c r="F161" s="330">
        <f>IFERROR(Queso!$D161/Queso!$E161,"")</f>
        <v>7.7856420626895853</v>
      </c>
      <c r="G161" s="231" t="s">
        <v>572</v>
      </c>
      <c r="H161" s="40"/>
      <c r="I161" s="392"/>
    </row>
    <row r="162" spans="1:9" x14ac:dyDescent="0.25">
      <c r="A162" s="337">
        <f>WEEKNUM(Queso!$B162)</f>
        <v>20</v>
      </c>
      <c r="B162" s="327">
        <f t="shared" si="2"/>
        <v>45424</v>
      </c>
      <c r="C162" s="332">
        <v>15</v>
      </c>
      <c r="D162" s="324">
        <v>73</v>
      </c>
      <c r="E162" s="325">
        <v>8.4149999999999991</v>
      </c>
      <c r="F162" s="326">
        <f>IFERROR(Queso!$D162/Queso!$E162,"")</f>
        <v>8.6749851455733822</v>
      </c>
      <c r="G162" s="231" t="s">
        <v>63</v>
      </c>
      <c r="H162" s="40"/>
      <c r="I162" s="393"/>
    </row>
    <row r="163" spans="1:9" x14ac:dyDescent="0.25">
      <c r="A163" s="337">
        <f>WEEKNUM(Queso!$B163)</f>
        <v>20</v>
      </c>
      <c r="B163" s="327">
        <f t="shared" si="2"/>
        <v>45425</v>
      </c>
      <c r="C163" s="331">
        <v>15</v>
      </c>
      <c r="D163" s="328">
        <v>76</v>
      </c>
      <c r="E163" s="329">
        <v>9.4</v>
      </c>
      <c r="F163" s="330">
        <f>IFERROR(Queso!$D163/Queso!$E163,"")</f>
        <v>8.085106382978724</v>
      </c>
      <c r="G163" s="231" t="s">
        <v>508</v>
      </c>
      <c r="H163" s="40"/>
      <c r="I163" s="393"/>
    </row>
    <row r="164" spans="1:9" x14ac:dyDescent="0.25">
      <c r="A164" s="337">
        <f>WEEKNUM(Queso!$B164)</f>
        <v>20</v>
      </c>
      <c r="B164" s="327">
        <f t="shared" si="2"/>
        <v>45426</v>
      </c>
      <c r="C164" s="332">
        <v>15</v>
      </c>
      <c r="D164" s="324">
        <v>69</v>
      </c>
      <c r="E164" s="325">
        <v>8.01</v>
      </c>
      <c r="F164" s="326">
        <f>IFERROR(Queso!$D164/Queso!$E164,"")</f>
        <v>8.6142322097378283</v>
      </c>
      <c r="G164" s="231" t="s">
        <v>508</v>
      </c>
      <c r="H164" s="40"/>
      <c r="I164" s="393"/>
    </row>
    <row r="165" spans="1:9" x14ac:dyDescent="0.25">
      <c r="A165" s="337">
        <f>WEEKNUM(Queso!$B165)</f>
        <v>20</v>
      </c>
      <c r="B165" s="327">
        <f t="shared" si="2"/>
        <v>45427</v>
      </c>
      <c r="C165" s="331">
        <v>15</v>
      </c>
      <c r="D165" s="328">
        <v>70</v>
      </c>
      <c r="E165" s="329">
        <v>8.5250000000000004</v>
      </c>
      <c r="F165" s="330">
        <f>IFERROR(Queso!$D165/Queso!$E165,"")</f>
        <v>8.2111436950146626</v>
      </c>
      <c r="G165" s="231" t="s">
        <v>508</v>
      </c>
      <c r="H165" s="40"/>
      <c r="I165" s="393"/>
    </row>
    <row r="166" spans="1:9" x14ac:dyDescent="0.25">
      <c r="A166" s="337">
        <f>WEEKNUM(Queso!$B166)</f>
        <v>20</v>
      </c>
      <c r="B166" s="327">
        <f t="shared" si="2"/>
        <v>45428</v>
      </c>
      <c r="C166" s="332">
        <v>15</v>
      </c>
      <c r="D166" s="324">
        <v>68</v>
      </c>
      <c r="E166" s="325">
        <v>9.2949999999999999</v>
      </c>
      <c r="F166" s="326">
        <f>IFERROR(Queso!$D166/Queso!$E166,"")</f>
        <v>7.3157611619150078</v>
      </c>
      <c r="G166" s="231" t="s">
        <v>508</v>
      </c>
      <c r="H166" s="40"/>
      <c r="I166" s="393"/>
    </row>
    <row r="167" spans="1:9" x14ac:dyDescent="0.25">
      <c r="A167" s="337">
        <f>WEEKNUM(Queso!$B167)</f>
        <v>20</v>
      </c>
      <c r="B167" s="327">
        <f t="shared" si="2"/>
        <v>45429</v>
      </c>
      <c r="C167" s="331">
        <v>15</v>
      </c>
      <c r="D167" s="328">
        <v>69</v>
      </c>
      <c r="E167" s="329"/>
      <c r="F167" s="330" t="str">
        <f>IFERROR(Queso!$D167/Queso!$E167,"")</f>
        <v/>
      </c>
      <c r="G167" s="231"/>
      <c r="H167" s="40"/>
      <c r="I167" s="393"/>
    </row>
    <row r="168" spans="1:9" x14ac:dyDescent="0.25">
      <c r="A168" s="337">
        <f>WEEKNUM(Queso!$B168)</f>
        <v>20</v>
      </c>
      <c r="B168" s="327">
        <f t="shared" si="2"/>
        <v>45430</v>
      </c>
      <c r="C168" s="332">
        <v>15</v>
      </c>
      <c r="D168" s="324"/>
      <c r="E168" s="325"/>
      <c r="F168" s="326" t="str">
        <f>IFERROR(Queso!$D168/Queso!$E168,"")</f>
        <v/>
      </c>
      <c r="G168" s="231"/>
      <c r="H168" s="40"/>
      <c r="I168" s="393"/>
    </row>
    <row r="169" spans="1:9" x14ac:dyDescent="0.25">
      <c r="A169" s="337">
        <f>WEEKNUM(Queso!$B169)</f>
        <v>21</v>
      </c>
      <c r="B169" s="327">
        <f t="shared" si="2"/>
        <v>45431</v>
      </c>
      <c r="C169" s="331">
        <v>15</v>
      </c>
      <c r="D169" s="328"/>
      <c r="E169" s="329"/>
      <c r="F169" s="330" t="str">
        <f>IFERROR(Queso!$D169/Queso!$E169,"")</f>
        <v/>
      </c>
      <c r="G169" s="231"/>
      <c r="H169" s="40"/>
      <c r="I169" s="393"/>
    </row>
    <row r="170" spans="1:9" x14ac:dyDescent="0.25">
      <c r="A170" s="337">
        <f>WEEKNUM(Queso!$B170)</f>
        <v>21</v>
      </c>
      <c r="B170" s="327">
        <f t="shared" si="2"/>
        <v>45432</v>
      </c>
      <c r="C170" s="332">
        <v>15</v>
      </c>
      <c r="D170" s="324"/>
      <c r="E170" s="325"/>
      <c r="F170" s="326" t="str">
        <f>IFERROR(Queso!$D170/Queso!$E170,"")</f>
        <v/>
      </c>
      <c r="G170" s="231"/>
      <c r="H170" s="40"/>
      <c r="I170" s="393"/>
    </row>
    <row r="171" spans="1:9" x14ac:dyDescent="0.25">
      <c r="A171" s="337">
        <f>WEEKNUM(Queso!$B171)</f>
        <v>21</v>
      </c>
      <c r="B171" s="327">
        <f t="shared" si="2"/>
        <v>45433</v>
      </c>
      <c r="C171" s="331">
        <v>15</v>
      </c>
      <c r="D171" s="328"/>
      <c r="E171" s="329"/>
      <c r="F171" s="330" t="str">
        <f>IFERROR(Queso!$D171/Queso!$E171,"")</f>
        <v/>
      </c>
      <c r="G171" s="231"/>
      <c r="H171" s="40"/>
      <c r="I171" s="393"/>
    </row>
    <row r="172" spans="1:9" x14ac:dyDescent="0.25">
      <c r="A172" s="335"/>
      <c r="B172" s="336" t="s">
        <v>559</v>
      </c>
      <c r="C172" s="332"/>
      <c r="D172" s="345">
        <f>SUBTOTAL(101,Queso!$D$4:$D$171)</f>
        <v>53.463414634146339</v>
      </c>
      <c r="E172" s="345">
        <f>SUBTOTAL(101,Queso!$E$4:$E$171)</f>
        <v>6.4358282208588955</v>
      </c>
      <c r="F172" s="322">
        <f>Queso!$D$172/Queso!$E$172</f>
        <v>8.3071537647428642</v>
      </c>
      <c r="G172" s="321"/>
      <c r="H172" s="256"/>
      <c r="I172" s="256"/>
    </row>
    <row r="173" spans="1:9" ht="18.75" x14ac:dyDescent="0.3">
      <c r="A173" s="70"/>
      <c r="B173" s="310" t="s">
        <v>545</v>
      </c>
      <c r="C173" s="319" cm="1">
        <f t="array" ref="C173">LOOKUP(2,1/(Queso!$C$4:$C$171&lt;&gt;""),Queso!$C$4:$C$171)</f>
        <v>15</v>
      </c>
      <c r="D173" s="344">
        <f ca="1">AVERAGE(INDIRECT(ADDRESS(COUNT(Queso!$D$4:$D$171)-4,4,4)):INDIRECT(ADDRESS(COUNT(Queso!$D$4:$D$171)+3,4,4)))</f>
        <v>72.25</v>
      </c>
      <c r="E173" s="344">
        <f ca="1">AVERAGE(INDIRECT(ADDRESS(COUNT(Queso!$E$4:$E$171)+3,5,4)):INDIRECT(ADDRESS(COUNT(Queso!$E$4:$E$171)-3,5,4)))</f>
        <v>9.0035714285714281</v>
      </c>
      <c r="F173" s="344">
        <f ca="1">AVERAGE(INDIRECT(ADDRESS(COUNT(Queso!$F$4:$F$171)+3,6,4)):INDIRECT(ADDRESS(COUNT(Queso!$F$4:$F$171)-3,6,4)))</f>
        <v>8.0993286548781906</v>
      </c>
      <c r="G173" s="319"/>
      <c r="H173" s="314"/>
      <c r="I173" s="314"/>
    </row>
    <row r="174" spans="1:9" x14ac:dyDescent="0.25">
      <c r="A174" s="70"/>
      <c r="B174" s="310" t="s">
        <v>558</v>
      </c>
      <c r="C174" s="293" cm="1">
        <f t="array" ref="C174">LOOKUP(2,1/(Queso!$C$4:$C$171&lt;&gt;""),Queso!$C$4:$C$171)</f>
        <v>15</v>
      </c>
      <c r="D174" s="293" cm="1">
        <f t="array" ref="D174">LOOKUP(2,1/(Queso!$D$4:$D$171&lt;&gt;""),Queso!$D$4:$D$171)</f>
        <v>69</v>
      </c>
      <c r="E174" s="293" cm="1">
        <f t="array" ref="E174">LOOKUP(2,1/(Queso!$E$4:$E$171&lt;&gt;""),Queso!$E$4:$E$171)</f>
        <v>9.2949999999999999</v>
      </c>
      <c r="F174" s="293" cm="1">
        <f t="array" ref="F174">LOOKUP(2,1/(Queso!$F$4:$F$171&lt;&gt;""),Queso!$F$4:$F$171)</f>
        <v>7.3157611619150078</v>
      </c>
      <c r="G174" s="293"/>
      <c r="H174" s="314"/>
      <c r="I174" s="314"/>
    </row>
    <row r="175" spans="1:9" x14ac:dyDescent="0.25">
      <c r="D175" s="322">
        <f ca="1">D173/C173</f>
        <v>4.8166666666666664</v>
      </c>
    </row>
  </sheetData>
  <phoneticPr fontId="3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6"/>
  <dimension ref="B1:N38"/>
  <sheetViews>
    <sheetView topLeftCell="A4" workbookViewId="0">
      <selection activeCell="F27" sqref="F27"/>
    </sheetView>
  </sheetViews>
  <sheetFormatPr baseColWidth="10" defaultColWidth="10.7109375" defaultRowHeight="15" x14ac:dyDescent="0.25"/>
  <cols>
    <col min="1" max="1" width="9.42578125" customWidth="1"/>
    <col min="2" max="2" width="16.85546875" customWidth="1"/>
    <col min="3" max="3" width="26.28515625" customWidth="1"/>
  </cols>
  <sheetData>
    <row r="1" spans="2:14" x14ac:dyDescent="0.25">
      <c r="B1" t="s">
        <v>298</v>
      </c>
    </row>
    <row r="2" spans="2:14" x14ac:dyDescent="0.25">
      <c r="B2" s="70" t="s">
        <v>282</v>
      </c>
    </row>
    <row r="3" spans="2:14" x14ac:dyDescent="0.25">
      <c r="B3" s="59" t="s">
        <v>1</v>
      </c>
      <c r="C3" s="59" t="s">
        <v>281</v>
      </c>
      <c r="D3" s="59" t="s">
        <v>86</v>
      </c>
      <c r="E3" s="59" t="s">
        <v>280</v>
      </c>
      <c r="F3" s="59" t="s">
        <v>88</v>
      </c>
      <c r="H3" s="265"/>
      <c r="I3" s="265" t="s">
        <v>73</v>
      </c>
      <c r="J3" s="265" t="s">
        <v>490</v>
      </c>
      <c r="K3" s="70" t="s">
        <v>86</v>
      </c>
      <c r="L3" s="265" t="s">
        <v>491</v>
      </c>
      <c r="M3" s="265" t="s">
        <v>87</v>
      </c>
      <c r="N3" s="265">
        <v>1.5</v>
      </c>
    </row>
    <row r="4" spans="2:14" x14ac:dyDescent="0.25">
      <c r="B4" s="70" t="s">
        <v>63</v>
      </c>
      <c r="C4" s="70" t="s">
        <v>607</v>
      </c>
      <c r="D4" s="23">
        <v>6</v>
      </c>
      <c r="E4" s="31">
        <v>42</v>
      </c>
      <c r="F4" s="23">
        <f>E4/7*30</f>
        <v>180</v>
      </c>
      <c r="H4" s="262" t="s">
        <v>489</v>
      </c>
      <c r="I4" s="57">
        <v>30</v>
      </c>
      <c r="J4" s="57">
        <v>0.5</v>
      </c>
      <c r="K4" s="23">
        <f>J4*I4</f>
        <v>15</v>
      </c>
      <c r="L4" s="23">
        <f>K4*30</f>
        <v>450</v>
      </c>
      <c r="M4" s="23">
        <f>K4*365</f>
        <v>5475</v>
      </c>
      <c r="N4" s="265" t="s">
        <v>299</v>
      </c>
    </row>
    <row r="5" spans="2:14" x14ac:dyDescent="0.25">
      <c r="B5" s="70" t="s">
        <v>64</v>
      </c>
      <c r="C5" s="70" t="s">
        <v>278</v>
      </c>
      <c r="D5" s="23">
        <v>6</v>
      </c>
      <c r="E5" s="31">
        <v>42</v>
      </c>
      <c r="F5" s="23">
        <f>E5/7*30</f>
        <v>180</v>
      </c>
      <c r="H5" s="262" t="s">
        <v>441</v>
      </c>
      <c r="I5" s="70"/>
      <c r="J5" s="265">
        <v>220</v>
      </c>
      <c r="K5" s="273">
        <f>K4*$N$3</f>
        <v>22.5</v>
      </c>
      <c r="L5" s="273">
        <f>L4*$N$3</f>
        <v>675</v>
      </c>
      <c r="M5" s="273">
        <f>K5*365</f>
        <v>8212.5</v>
      </c>
      <c r="N5" s="265" t="s">
        <v>492</v>
      </c>
    </row>
    <row r="6" spans="2:14" x14ac:dyDescent="0.25">
      <c r="B6" s="70" t="s">
        <v>277</v>
      </c>
      <c r="C6" s="70" t="s">
        <v>277</v>
      </c>
      <c r="D6" s="23">
        <v>6</v>
      </c>
      <c r="E6" s="31">
        <v>50</v>
      </c>
      <c r="F6" s="23">
        <f>E6/7*30</f>
        <v>214.28571428571431</v>
      </c>
      <c r="H6" s="262" t="s">
        <v>493</v>
      </c>
      <c r="I6" s="23">
        <f>$J$5*$N$3*I4</f>
        <v>9900</v>
      </c>
      <c r="J6" s="70">
        <f>(365*J4)+J5</f>
        <v>402.5</v>
      </c>
      <c r="K6" s="70"/>
      <c r="L6" s="266">
        <f>L5/I6</f>
        <v>6.8181818181818177E-2</v>
      </c>
      <c r="M6" s="266">
        <f>M5/I6</f>
        <v>0.82954545454545459</v>
      </c>
      <c r="N6" s="70"/>
    </row>
    <row r="7" spans="2:14" x14ac:dyDescent="0.25">
      <c r="B7" s="70" t="s">
        <v>226</v>
      </c>
      <c r="C7" s="70" t="s">
        <v>279</v>
      </c>
      <c r="D7" s="23">
        <v>6</v>
      </c>
      <c r="E7" s="31">
        <v>35</v>
      </c>
      <c r="F7" s="23">
        <f>E7/7*30</f>
        <v>150</v>
      </c>
      <c r="H7" s="124"/>
    </row>
    <row r="8" spans="2:14" x14ac:dyDescent="0.25">
      <c r="B8" s="70" t="s">
        <v>606</v>
      </c>
      <c r="C8" s="70" t="s">
        <v>279</v>
      </c>
      <c r="D8" s="23">
        <v>6</v>
      </c>
      <c r="E8" s="31">
        <v>35</v>
      </c>
      <c r="F8" s="23">
        <f>E8/7*30</f>
        <v>150</v>
      </c>
      <c r="H8" s="124"/>
    </row>
    <row r="9" spans="2:14" ht="15.75" x14ac:dyDescent="0.25">
      <c r="D9" s="32">
        <f>SUM(D4:D8)</f>
        <v>30</v>
      </c>
      <c r="E9" s="32">
        <f>SUM(E4:E8)</f>
        <v>204</v>
      </c>
      <c r="F9" s="32">
        <f>SUM(F4:F8)</f>
        <v>874.28571428571433</v>
      </c>
      <c r="H9" s="262"/>
      <c r="I9" s="265" t="s">
        <v>73</v>
      </c>
      <c r="J9" s="265" t="s">
        <v>494</v>
      </c>
      <c r="K9" s="265" t="s">
        <v>86</v>
      </c>
      <c r="L9" s="265" t="s">
        <v>491</v>
      </c>
      <c r="M9" s="265" t="s">
        <v>87</v>
      </c>
      <c r="N9" s="265">
        <v>0.5</v>
      </c>
    </row>
    <row r="10" spans="2:14" x14ac:dyDescent="0.25">
      <c r="B10" s="70" t="s">
        <v>283</v>
      </c>
      <c r="H10" s="262" t="s">
        <v>502</v>
      </c>
      <c r="I10" s="57">
        <v>16</v>
      </c>
      <c r="J10" s="57">
        <v>8</v>
      </c>
      <c r="K10" s="57">
        <f>J10*1*I10</f>
        <v>128</v>
      </c>
      <c r="L10" s="57">
        <f>J10*30*I10</f>
        <v>3840</v>
      </c>
      <c r="M10" s="57">
        <f>J10*365*I10</f>
        <v>46720</v>
      </c>
      <c r="N10" s="271" t="s">
        <v>258</v>
      </c>
    </row>
    <row r="11" spans="2:14" x14ac:dyDescent="0.25">
      <c r="B11" s="59"/>
      <c r="C11" s="59" t="s">
        <v>284</v>
      </c>
      <c r="D11" s="59" t="s">
        <v>86</v>
      </c>
      <c r="E11" s="59" t="s">
        <v>280</v>
      </c>
      <c r="F11" s="59" t="s">
        <v>88</v>
      </c>
      <c r="H11" s="262" t="s">
        <v>503</v>
      </c>
      <c r="I11" s="57">
        <v>50</v>
      </c>
      <c r="J11" s="57">
        <v>8</v>
      </c>
      <c r="K11" s="57">
        <f>J11*1*I11</f>
        <v>400</v>
      </c>
      <c r="L11" s="57">
        <f>J11*30*I11</f>
        <v>12000</v>
      </c>
      <c r="M11" s="57">
        <f>J11*365*I11</f>
        <v>146000</v>
      </c>
      <c r="N11" s="265" t="s">
        <v>258</v>
      </c>
    </row>
    <row r="12" spans="2:14" x14ac:dyDescent="0.25">
      <c r="B12" s="70" t="s">
        <v>285</v>
      </c>
      <c r="C12" s="83" t="s">
        <v>286</v>
      </c>
      <c r="D12" s="23">
        <f>E12/7</f>
        <v>15.714285714285714</v>
      </c>
      <c r="E12" s="31">
        <f>60+50</f>
        <v>110</v>
      </c>
      <c r="F12" s="23">
        <f>D12*30</f>
        <v>471.42857142857139</v>
      </c>
      <c r="H12" s="262" t="s">
        <v>441</v>
      </c>
      <c r="I12" s="57">
        <v>800</v>
      </c>
      <c r="J12" s="57">
        <f>J11*$N$9</f>
        <v>4</v>
      </c>
      <c r="K12" s="57">
        <f>(K11+K10)*$N$9</f>
        <v>264</v>
      </c>
      <c r="L12" s="57">
        <f>(L11+L10)*$N$9</f>
        <v>7920</v>
      </c>
      <c r="M12" s="57">
        <f>(M11+M10)*$N$9</f>
        <v>96360</v>
      </c>
      <c r="N12" s="265" t="s">
        <v>492</v>
      </c>
    </row>
    <row r="13" spans="2:14" x14ac:dyDescent="0.25">
      <c r="B13" s="70" t="s">
        <v>288</v>
      </c>
      <c r="C13" s="70" t="s">
        <v>290</v>
      </c>
      <c r="D13" s="23">
        <f>E13/7</f>
        <v>2.1428571428571428</v>
      </c>
      <c r="E13" s="31">
        <f>3*5</f>
        <v>15</v>
      </c>
      <c r="F13" s="23">
        <f>D13*30</f>
        <v>64.285714285714278</v>
      </c>
      <c r="H13" s="262" t="s">
        <v>495</v>
      </c>
      <c r="I13" s="57">
        <f>I11+I10</f>
        <v>66</v>
      </c>
      <c r="J13" s="57" t="s">
        <v>496</v>
      </c>
      <c r="K13" s="274">
        <v>150</v>
      </c>
      <c r="L13" s="274">
        <v>1.2</v>
      </c>
      <c r="M13" s="274">
        <f>L13*K13*I13</f>
        <v>11880</v>
      </c>
      <c r="N13" s="265"/>
    </row>
    <row r="14" spans="2:14" x14ac:dyDescent="0.25">
      <c r="B14" s="70" t="s">
        <v>287</v>
      </c>
      <c r="C14" s="70" t="s">
        <v>292</v>
      </c>
      <c r="D14" s="23">
        <f>F14/30</f>
        <v>1.6666666666666667</v>
      </c>
      <c r="E14" s="23">
        <f>D14*7</f>
        <v>11.666666666666668</v>
      </c>
      <c r="F14" s="31">
        <v>50</v>
      </c>
      <c r="H14" s="262" t="s">
        <v>493</v>
      </c>
      <c r="I14" s="23">
        <f>I11*I12</f>
        <v>40000</v>
      </c>
      <c r="J14" s="268"/>
      <c r="K14" s="57">
        <f>K12</f>
        <v>264</v>
      </c>
      <c r="L14" s="57">
        <f>L12</f>
        <v>7920</v>
      </c>
      <c r="M14" s="57">
        <f>M12</f>
        <v>96360</v>
      </c>
      <c r="N14" s="265"/>
    </row>
    <row r="15" spans="2:14" ht="15.75" x14ac:dyDescent="0.25">
      <c r="B15" s="70" t="s">
        <v>289</v>
      </c>
      <c r="C15" s="70" t="s">
        <v>291</v>
      </c>
      <c r="D15" s="23">
        <f>E15/7</f>
        <v>7.1428571428571432</v>
      </c>
      <c r="E15" s="31">
        <v>50</v>
      </c>
      <c r="F15" s="23">
        <f>D15*30</f>
        <v>214.28571428571431</v>
      </c>
      <c r="H15" s="262"/>
      <c r="I15" s="70"/>
      <c r="J15" s="57"/>
      <c r="K15" s="267">
        <f>K14/$I$14</f>
        <v>6.6E-3</v>
      </c>
      <c r="L15" s="267">
        <f>L14/$I$14</f>
        <v>0.19800000000000001</v>
      </c>
      <c r="M15" s="267">
        <f>M14/$I$14</f>
        <v>2.4089999999999998</v>
      </c>
      <c r="N15" s="265"/>
    </row>
    <row r="16" spans="2:14" ht="15.75" x14ac:dyDescent="0.25">
      <c r="D16" s="32">
        <f>SUM(D12:D15)</f>
        <v>26.666666666666668</v>
      </c>
      <c r="E16" s="32">
        <f>SUM(E12:E15)</f>
        <v>186.66666666666666</v>
      </c>
      <c r="F16" s="32">
        <f>SUM(F12:F15)</f>
        <v>800</v>
      </c>
      <c r="H16" s="262" t="s">
        <v>504</v>
      </c>
      <c r="I16" s="70"/>
      <c r="J16" s="23">
        <f>I4+I10+I11+I13</f>
        <v>162</v>
      </c>
      <c r="K16" s="70"/>
      <c r="L16" s="266"/>
      <c r="M16" s="266"/>
      <c r="N16" s="70"/>
    </row>
    <row r="17" spans="2:14" x14ac:dyDescent="0.25">
      <c r="H17" s="124"/>
    </row>
    <row r="18" spans="2:14" x14ac:dyDescent="0.25">
      <c r="H18" s="262" t="s">
        <v>267</v>
      </c>
      <c r="I18" s="23">
        <f>I14+I6</f>
        <v>49900</v>
      </c>
      <c r="K18" s="70" t="s">
        <v>494</v>
      </c>
      <c r="L18" s="23">
        <f>L14</f>
        <v>7920</v>
      </c>
      <c r="M18" s="23">
        <f>L18</f>
        <v>7920</v>
      </c>
      <c r="N18" s="23"/>
    </row>
    <row r="19" spans="2:14" x14ac:dyDescent="0.25">
      <c r="B19" s="70" t="s">
        <v>293</v>
      </c>
      <c r="H19" s="262" t="s">
        <v>274</v>
      </c>
      <c r="I19" s="275">
        <v>0.3</v>
      </c>
      <c r="K19" s="70" t="s">
        <v>262</v>
      </c>
      <c r="L19" s="23">
        <f>I21</f>
        <v>-2790.0497359691176</v>
      </c>
      <c r="M19" s="23"/>
    </row>
    <row r="20" spans="2:14" x14ac:dyDescent="0.25">
      <c r="B20" s="59"/>
      <c r="C20" s="59" t="s">
        <v>284</v>
      </c>
      <c r="D20" s="59" t="s">
        <v>86</v>
      </c>
      <c r="E20" s="59" t="s">
        <v>280</v>
      </c>
      <c r="F20" s="59" t="s">
        <v>88</v>
      </c>
      <c r="H20" s="262" t="s">
        <v>47</v>
      </c>
      <c r="I20" s="70">
        <v>24</v>
      </c>
      <c r="K20" s="70" t="s">
        <v>283</v>
      </c>
      <c r="L20" s="23">
        <f>(E26/7)*30*-1</f>
        <v>-2994.2857142857142</v>
      </c>
      <c r="M20" s="23">
        <f>L20</f>
        <v>-2994.2857142857142</v>
      </c>
    </row>
    <row r="21" spans="2:14" ht="15.75" x14ac:dyDescent="0.25">
      <c r="B21" s="70" t="s">
        <v>294</v>
      </c>
      <c r="C21" s="83"/>
      <c r="D21" s="23">
        <f>F21/30</f>
        <v>3.3333333333333335</v>
      </c>
      <c r="E21" s="23">
        <f>D21*7</f>
        <v>23.333333333333336</v>
      </c>
      <c r="F21" s="23">
        <v>100</v>
      </c>
      <c r="H21" s="262" t="s">
        <v>262</v>
      </c>
      <c r="I21" s="23">
        <f>PMT(I19/12,I20,I18,0)</f>
        <v>-2790.0497359691176</v>
      </c>
      <c r="K21" s="276" t="s">
        <v>501</v>
      </c>
      <c r="L21" s="32">
        <f>SUM(L18:L20)</f>
        <v>2135.6645497451677</v>
      </c>
      <c r="M21" s="32">
        <f>SUM(M18:M20)</f>
        <v>4925.7142857142862</v>
      </c>
    </row>
    <row r="22" spans="2:14" x14ac:dyDescent="0.25">
      <c r="B22" s="70" t="s">
        <v>295</v>
      </c>
      <c r="C22" s="70" t="s">
        <v>297</v>
      </c>
      <c r="D22" s="31">
        <f>2*20</f>
        <v>40</v>
      </c>
      <c r="E22" s="23">
        <f>D22*7</f>
        <v>280</v>
      </c>
      <c r="F22" s="23">
        <f>D22*30</f>
        <v>1200</v>
      </c>
      <c r="K22" s="70" t="s">
        <v>505</v>
      </c>
      <c r="L22" s="70">
        <f>(M5+M13)/12</f>
        <v>1674.375</v>
      </c>
      <c r="M22" s="70">
        <f>L22</f>
        <v>1674.375</v>
      </c>
    </row>
    <row r="23" spans="2:14" ht="15.75" x14ac:dyDescent="0.25">
      <c r="B23" s="70" t="s">
        <v>169</v>
      </c>
      <c r="C23" s="70"/>
      <c r="D23" s="23">
        <f>F23/30</f>
        <v>0.66666666666666663</v>
      </c>
      <c r="E23" s="23">
        <f>D23*7</f>
        <v>4.6666666666666661</v>
      </c>
      <c r="F23" s="31">
        <v>20</v>
      </c>
      <c r="K23" s="70"/>
      <c r="L23" s="32">
        <f>SUM(L21:L22)</f>
        <v>3810.0395497451677</v>
      </c>
      <c r="M23" s="32">
        <f>SUM(M21:M22)</f>
        <v>6600.0892857142862</v>
      </c>
    </row>
    <row r="24" spans="2:14" x14ac:dyDescent="0.25">
      <c r="B24" s="70" t="s">
        <v>296</v>
      </c>
      <c r="C24" s="70"/>
      <c r="D24" s="23"/>
      <c r="E24" s="31"/>
      <c r="F24" s="23"/>
    </row>
    <row r="25" spans="2:14" ht="15.75" x14ac:dyDescent="0.25">
      <c r="D25" s="32">
        <f>SUM(D21:D24)</f>
        <v>44</v>
      </c>
      <c r="E25" s="32">
        <f>SUM(E21:E24)</f>
        <v>308</v>
      </c>
      <c r="F25" s="32">
        <f>SUM(F21:F24)</f>
        <v>1320</v>
      </c>
    </row>
    <row r="26" spans="2:14" ht="18.75" x14ac:dyDescent="0.3">
      <c r="E26" s="272">
        <f>E25+E16+E9</f>
        <v>698.66666666666663</v>
      </c>
      <c r="H26">
        <v>166</v>
      </c>
      <c r="I26">
        <f>H26*300*0.1</f>
        <v>4980</v>
      </c>
    </row>
    <row r="27" spans="2:14" x14ac:dyDescent="0.25">
      <c r="H27">
        <f>10*30000</f>
        <v>300000</v>
      </c>
      <c r="I27">
        <f>H27/60</f>
        <v>5000</v>
      </c>
    </row>
    <row r="32" spans="2:14" x14ac:dyDescent="0.25">
      <c r="B32" s="70" t="s">
        <v>282</v>
      </c>
    </row>
    <row r="33" spans="2:6" x14ac:dyDescent="0.25">
      <c r="B33" s="278" t="s">
        <v>1</v>
      </c>
      <c r="C33" s="278" t="s">
        <v>281</v>
      </c>
      <c r="D33" s="278" t="s">
        <v>86</v>
      </c>
      <c r="E33" s="278" t="s">
        <v>280</v>
      </c>
      <c r="F33" s="278" t="s">
        <v>88</v>
      </c>
    </row>
    <row r="34" spans="2:6" x14ac:dyDescent="0.25">
      <c r="B34" s="70" t="s">
        <v>63</v>
      </c>
      <c r="C34" s="70" t="s">
        <v>277</v>
      </c>
      <c r="D34" s="23">
        <f>F34/30</f>
        <v>5</v>
      </c>
      <c r="E34" s="31">
        <v>35</v>
      </c>
      <c r="F34" s="23">
        <f>E34/7*30</f>
        <v>150</v>
      </c>
    </row>
    <row r="35" spans="2:6" x14ac:dyDescent="0.25">
      <c r="B35" s="70" t="s">
        <v>64</v>
      </c>
      <c r="C35" s="70" t="s">
        <v>278</v>
      </c>
      <c r="D35" s="23">
        <f>F35/30</f>
        <v>5</v>
      </c>
      <c r="E35" s="31">
        <v>35</v>
      </c>
      <c r="F35" s="23">
        <f>E35/7*30</f>
        <v>150</v>
      </c>
    </row>
    <row r="36" spans="2:6" x14ac:dyDescent="0.25">
      <c r="B36" s="70" t="s">
        <v>225</v>
      </c>
      <c r="C36" s="70" t="s">
        <v>279</v>
      </c>
      <c r="D36" s="23">
        <v>5</v>
      </c>
      <c r="E36" s="31">
        <v>30</v>
      </c>
      <c r="F36" s="23">
        <f>E36/7*30</f>
        <v>128.57142857142856</v>
      </c>
    </row>
    <row r="37" spans="2:6" x14ac:dyDescent="0.25">
      <c r="B37" s="70" t="s">
        <v>226</v>
      </c>
      <c r="C37" s="70" t="s">
        <v>279</v>
      </c>
      <c r="D37" s="23">
        <v>6</v>
      </c>
      <c r="E37" s="31">
        <v>35</v>
      </c>
      <c r="F37" s="23">
        <f>E37/7*30</f>
        <v>150</v>
      </c>
    </row>
    <row r="38" spans="2:6" ht="15.75" x14ac:dyDescent="0.25">
      <c r="D38" s="32">
        <f>SUM(D34:D37)</f>
        <v>21</v>
      </c>
      <c r="E38" s="32">
        <f>SUM(E34:E37)</f>
        <v>135</v>
      </c>
      <c r="F38" s="32">
        <f>SUM(F34:F37)</f>
        <v>578.57142857142856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0"/>
  <dimension ref="B1:O29"/>
  <sheetViews>
    <sheetView workbookViewId="0">
      <selection activeCell="P6" sqref="P6"/>
    </sheetView>
  </sheetViews>
  <sheetFormatPr baseColWidth="10" defaultColWidth="10.7109375" defaultRowHeight="15" x14ac:dyDescent="0.25"/>
  <cols>
    <col min="2" max="2" width="15.5703125" customWidth="1"/>
    <col min="3" max="3" width="6" customWidth="1"/>
    <col min="4" max="4" width="7.42578125" customWidth="1"/>
    <col min="5" max="5" width="9.28515625" customWidth="1"/>
    <col min="6" max="6" width="7" customWidth="1"/>
    <col min="7" max="7" width="11.85546875" bestFit="1" customWidth="1"/>
    <col min="8" max="8" width="7.28515625" customWidth="1"/>
    <col min="9" max="9" width="8.140625" customWidth="1"/>
    <col min="10" max="10" width="9.42578125" customWidth="1"/>
    <col min="13" max="13" width="6.28515625" customWidth="1"/>
    <col min="14" max="14" width="5.140625" customWidth="1"/>
  </cols>
  <sheetData>
    <row r="1" spans="2:15" ht="15.75" thickBot="1" x14ac:dyDescent="0.3"/>
    <row r="2" spans="2:15" x14ac:dyDescent="0.25">
      <c r="B2" s="11"/>
      <c r="C2" s="12"/>
      <c r="D2" s="13"/>
      <c r="E2" s="13" t="s">
        <v>59</v>
      </c>
      <c r="F2" s="13" t="s">
        <v>60</v>
      </c>
      <c r="G2" s="14"/>
    </row>
    <row r="3" spans="2:15" ht="15.75" thickBot="1" x14ac:dyDescent="0.3">
      <c r="B3" s="15"/>
      <c r="C3" s="16" t="s">
        <v>61</v>
      </c>
      <c r="D3" s="16" t="s">
        <v>62</v>
      </c>
      <c r="E3" s="17">
        <v>30</v>
      </c>
      <c r="F3" s="17">
        <v>30</v>
      </c>
      <c r="G3" s="18">
        <f>G9/365</f>
        <v>8.0952380952380967</v>
      </c>
      <c r="L3" s="590" t="s">
        <v>80</v>
      </c>
      <c r="M3" s="591"/>
      <c r="N3" s="591"/>
      <c r="O3" s="592"/>
    </row>
    <row r="4" spans="2:15" x14ac:dyDescent="0.25">
      <c r="B4" s="19" t="s">
        <v>63</v>
      </c>
      <c r="C4" s="20">
        <f>D4/9</f>
        <v>1.6666666666666667</v>
      </c>
      <c r="D4" s="20">
        <v>15</v>
      </c>
      <c r="E4" s="20">
        <f>C4*$K$4</f>
        <v>0</v>
      </c>
      <c r="F4" s="20">
        <f>C4*$L$4</f>
        <v>0</v>
      </c>
      <c r="G4" s="21">
        <f>(C4*365)+E4+F4</f>
        <v>608.33333333333337</v>
      </c>
      <c r="L4" s="2"/>
      <c r="M4" s="3" t="s">
        <v>73</v>
      </c>
      <c r="N4" s="3" t="s">
        <v>83</v>
      </c>
      <c r="O4" s="3" t="s">
        <v>75</v>
      </c>
    </row>
    <row r="5" spans="2:15" x14ac:dyDescent="0.25">
      <c r="B5" s="22" t="s">
        <v>64</v>
      </c>
      <c r="C5" s="23">
        <f>D5/9</f>
        <v>1.6666666666666667</v>
      </c>
      <c r="D5" s="23">
        <v>15</v>
      </c>
      <c r="E5" s="23">
        <f>C5*$K$4</f>
        <v>0</v>
      </c>
      <c r="F5" s="23">
        <f>C5*$L$4</f>
        <v>0</v>
      </c>
      <c r="G5" s="24">
        <f>(C5*365)+E5+F5</f>
        <v>608.33333333333337</v>
      </c>
      <c r="L5" s="2" t="s">
        <v>78</v>
      </c>
      <c r="M5" s="2">
        <v>50</v>
      </c>
      <c r="N5" s="2">
        <v>4</v>
      </c>
      <c r="O5" s="2">
        <f>M5*N5</f>
        <v>200</v>
      </c>
    </row>
    <row r="6" spans="2:15" x14ac:dyDescent="0.25">
      <c r="B6" s="22" t="s">
        <v>65</v>
      </c>
      <c r="C6" s="23">
        <f>D6/9</f>
        <v>1.6666666666666667</v>
      </c>
      <c r="D6" s="23">
        <v>15</v>
      </c>
      <c r="E6" s="23">
        <f>C6*$K$4</f>
        <v>0</v>
      </c>
      <c r="F6" s="23">
        <f>C6*$L$4</f>
        <v>0</v>
      </c>
      <c r="G6" s="24">
        <f>(C6*365)+E6+F6</f>
        <v>608.33333333333337</v>
      </c>
      <c r="L6" s="2" t="s">
        <v>79</v>
      </c>
      <c r="M6" s="2">
        <v>450</v>
      </c>
      <c r="N6" s="2">
        <v>2</v>
      </c>
      <c r="O6" s="2">
        <f>M6*N6</f>
        <v>900</v>
      </c>
    </row>
    <row r="7" spans="2:15" x14ac:dyDescent="0.25">
      <c r="B7" s="22" t="s">
        <v>84</v>
      </c>
      <c r="C7" s="23">
        <f>D7/9</f>
        <v>1.6666666666666667</v>
      </c>
      <c r="D7" s="23">
        <v>15</v>
      </c>
      <c r="E7" s="23">
        <f>C7*$K$4</f>
        <v>0</v>
      </c>
      <c r="F7" s="23">
        <f>C7*$L$4</f>
        <v>0</v>
      </c>
      <c r="G7" s="24">
        <f>(C7*365)+E7+F7</f>
        <v>608.33333333333337</v>
      </c>
      <c r="L7" s="2" t="s">
        <v>80</v>
      </c>
      <c r="M7" s="2">
        <v>10</v>
      </c>
      <c r="N7" s="2">
        <v>50</v>
      </c>
      <c r="O7" s="2">
        <f>M7*N7</f>
        <v>500</v>
      </c>
    </row>
    <row r="8" spans="2:15" x14ac:dyDescent="0.25">
      <c r="B8" s="22" t="s">
        <v>66</v>
      </c>
      <c r="C8" s="23">
        <f>D8/7</f>
        <v>1.4285714285714286</v>
      </c>
      <c r="D8" s="23">
        <v>10</v>
      </c>
      <c r="E8" s="23">
        <f>C8*$K$4</f>
        <v>0</v>
      </c>
      <c r="F8" s="23">
        <f>C8*$L$4</f>
        <v>0</v>
      </c>
      <c r="G8" s="24">
        <f>(C8*365)+E8+F8</f>
        <v>521.42857142857144</v>
      </c>
      <c r="L8" s="2" t="s">
        <v>81</v>
      </c>
      <c r="M8" s="2">
        <v>10</v>
      </c>
      <c r="N8" s="2">
        <v>4</v>
      </c>
      <c r="O8" s="2">
        <f>M8*N8</f>
        <v>40</v>
      </c>
    </row>
    <row r="9" spans="2:15" ht="16.5" thickBot="1" x14ac:dyDescent="0.3">
      <c r="B9" s="25"/>
      <c r="C9" s="26">
        <f>SUM(C4:C8)</f>
        <v>8.0952380952380949</v>
      </c>
      <c r="D9" s="29">
        <f>SUM(D4:D8)</f>
        <v>70</v>
      </c>
      <c r="E9" s="26">
        <f>D9/H13</f>
        <v>38.888888888888886</v>
      </c>
      <c r="F9" s="26">
        <f>SUM(F4:F8)</f>
        <v>0</v>
      </c>
      <c r="G9" s="27">
        <f>SUM(G4:G8)</f>
        <v>2954.761904761905</v>
      </c>
      <c r="L9" s="2" t="s">
        <v>82</v>
      </c>
      <c r="M9" s="2"/>
      <c r="N9" s="2"/>
      <c r="O9" s="2">
        <v>200</v>
      </c>
    </row>
    <row r="10" spans="2:15" x14ac:dyDescent="0.25">
      <c r="L10" s="2"/>
      <c r="M10" s="2"/>
      <c r="N10" s="2"/>
      <c r="O10" s="2">
        <f>SUM(O5:O9)</f>
        <v>1840</v>
      </c>
    </row>
    <row r="13" spans="2:15" x14ac:dyDescent="0.25">
      <c r="H13" s="2">
        <v>1.8</v>
      </c>
    </row>
    <row r="14" spans="2:15" s="1" customFormat="1" ht="15.75" x14ac:dyDescent="0.25">
      <c r="B14" s="3"/>
      <c r="C14" s="33" t="s">
        <v>73</v>
      </c>
      <c r="D14" s="33" t="s">
        <v>74</v>
      </c>
      <c r="E14" s="33" t="s">
        <v>75</v>
      </c>
      <c r="F14" s="33" t="s">
        <v>76</v>
      </c>
      <c r="G14" s="33" t="s">
        <v>77</v>
      </c>
      <c r="H14" s="34" t="s">
        <v>86</v>
      </c>
      <c r="I14" s="33" t="s">
        <v>85</v>
      </c>
      <c r="J14" s="33" t="s">
        <v>88</v>
      </c>
      <c r="K14" s="33" t="s">
        <v>87</v>
      </c>
    </row>
    <row r="15" spans="2:15" ht="15.75" x14ac:dyDescent="0.25">
      <c r="B15" s="2" t="s">
        <v>67</v>
      </c>
      <c r="C15" s="38">
        <f>4+C28-C16</f>
        <v>11</v>
      </c>
      <c r="D15" s="23">
        <v>7</v>
      </c>
      <c r="E15" s="23">
        <f>C15*D15</f>
        <v>77</v>
      </c>
      <c r="F15" s="23">
        <v>8</v>
      </c>
      <c r="G15" s="23">
        <f>E15/F15</f>
        <v>9.625</v>
      </c>
      <c r="H15" s="23">
        <f>G15*H13</f>
        <v>17.324999999999999</v>
      </c>
      <c r="I15" s="23">
        <f>H15*7</f>
        <v>121.27499999999999</v>
      </c>
      <c r="J15" s="23">
        <f>H15*30</f>
        <v>519.75</v>
      </c>
      <c r="K15" s="23">
        <f>H15*365</f>
        <v>6323.625</v>
      </c>
    </row>
    <row r="16" spans="2:15" x14ac:dyDescent="0.25">
      <c r="B16" s="2" t="s">
        <v>68</v>
      </c>
      <c r="C16" s="3">
        <v>1</v>
      </c>
      <c r="D16" s="23"/>
      <c r="E16" s="23"/>
      <c r="F16" s="23"/>
      <c r="G16" s="23"/>
      <c r="H16" s="23"/>
      <c r="I16" s="23"/>
      <c r="J16" s="23"/>
      <c r="K16" s="23"/>
    </row>
    <row r="17" spans="2:14" x14ac:dyDescent="0.25">
      <c r="B17" s="2" t="s">
        <v>69</v>
      </c>
      <c r="C17" s="3">
        <f>ROUNDDOWN(C18/2,0)</f>
        <v>6</v>
      </c>
      <c r="D17" s="23"/>
      <c r="E17" s="23"/>
      <c r="F17" s="23"/>
      <c r="G17" s="23"/>
      <c r="H17" s="23">
        <f>J17/30</f>
        <v>3.3333333333333335</v>
      </c>
      <c r="I17" s="23">
        <f>H17*7</f>
        <v>23.333333333333336</v>
      </c>
      <c r="J17" s="23">
        <f>K17/12</f>
        <v>100</v>
      </c>
      <c r="K17" s="23">
        <f>C17*L17*M17</f>
        <v>1200</v>
      </c>
      <c r="L17">
        <v>400</v>
      </c>
      <c r="M17" s="30">
        <v>0.5</v>
      </c>
    </row>
    <row r="18" spans="2:14" x14ac:dyDescent="0.25">
      <c r="B18" s="2" t="s">
        <v>71</v>
      </c>
      <c r="C18" s="3">
        <f>C15+C16</f>
        <v>12</v>
      </c>
      <c r="D18" s="23"/>
      <c r="E18" s="23"/>
      <c r="F18" s="23"/>
      <c r="G18" s="23"/>
      <c r="H18" s="23">
        <f>J18/30</f>
        <v>2.9333333333333331</v>
      </c>
      <c r="I18" s="23">
        <f>H18*7</f>
        <v>20.533333333333331</v>
      </c>
      <c r="J18" s="23">
        <f>K18/12</f>
        <v>88</v>
      </c>
      <c r="K18" s="23">
        <f>C18*L18*M18*N18</f>
        <v>1056</v>
      </c>
      <c r="L18">
        <v>220</v>
      </c>
      <c r="M18" s="30">
        <v>0.5</v>
      </c>
      <c r="N18">
        <v>0.8</v>
      </c>
    </row>
    <row r="19" spans="2:14" x14ac:dyDescent="0.25">
      <c r="B19" s="2" t="s">
        <v>70</v>
      </c>
      <c r="C19" s="3">
        <f>C15</f>
        <v>11</v>
      </c>
      <c r="D19" s="23"/>
      <c r="E19" s="23"/>
      <c r="F19" s="23"/>
      <c r="G19" s="23"/>
      <c r="H19" s="23"/>
      <c r="I19" s="23"/>
      <c r="J19" s="23"/>
      <c r="K19" s="23"/>
    </row>
    <row r="20" spans="2:14" x14ac:dyDescent="0.25">
      <c r="B20" s="2" t="s">
        <v>72</v>
      </c>
      <c r="C20" s="3">
        <f>SUM(C15:C19)</f>
        <v>41</v>
      </c>
      <c r="D20" s="23"/>
      <c r="E20" s="23"/>
      <c r="F20" s="23"/>
      <c r="G20" s="23"/>
      <c r="H20" s="31">
        <f>SUM(H15:H19)</f>
        <v>23.591666666666665</v>
      </c>
      <c r="I20" s="31">
        <f>SUM(I15:I19)</f>
        <v>165.14166666666665</v>
      </c>
      <c r="J20" s="31">
        <f>SUM(J15:J19)</f>
        <v>707.75</v>
      </c>
      <c r="K20" s="31">
        <f>SUM(K15:K19)</f>
        <v>8579.625</v>
      </c>
    </row>
    <row r="21" spans="2:14" x14ac:dyDescent="0.25">
      <c r="B21" s="2" t="s">
        <v>89</v>
      </c>
      <c r="C21" s="3"/>
      <c r="D21" s="23"/>
      <c r="E21" s="23"/>
      <c r="F21" s="23"/>
      <c r="G21" s="23"/>
      <c r="H21" s="23">
        <f>C9</f>
        <v>8.0952380952380949</v>
      </c>
      <c r="I21" s="23">
        <f>D9</f>
        <v>70</v>
      </c>
      <c r="J21" s="23">
        <f>H21*30</f>
        <v>242.85714285714283</v>
      </c>
      <c r="K21" s="23">
        <f>H21*365</f>
        <v>2954.7619047619046</v>
      </c>
    </row>
    <row r="22" spans="2:14" x14ac:dyDescent="0.25">
      <c r="B22" s="2" t="s">
        <v>90</v>
      </c>
      <c r="C22" s="3"/>
      <c r="D22" s="23"/>
      <c r="E22" s="23"/>
      <c r="F22" s="23"/>
      <c r="G22" s="35" t="str">
        <f>CONCATENATE(ROUNDUP((J22/O10)*1000,0)," metros al mes")</f>
        <v>60 metros al mes</v>
      </c>
      <c r="H22" s="23">
        <f>I22/7</f>
        <v>3.6624999999999992</v>
      </c>
      <c r="I22" s="23">
        <f>(I15-I21)/2</f>
        <v>25.637499999999996</v>
      </c>
      <c r="J22" s="23">
        <f>H22*30</f>
        <v>109.87499999999997</v>
      </c>
      <c r="K22" s="23">
        <f>H22*365</f>
        <v>1336.8124999999998</v>
      </c>
    </row>
    <row r="23" spans="2:14" ht="15.75" x14ac:dyDescent="0.25">
      <c r="B23" s="2" t="s">
        <v>91</v>
      </c>
      <c r="C23" s="3"/>
      <c r="D23" s="23"/>
      <c r="E23" s="23"/>
      <c r="F23" s="23"/>
      <c r="G23" s="23"/>
      <c r="H23" s="23">
        <f>I23/7</f>
        <v>1.8312499999999996</v>
      </c>
      <c r="I23" s="32">
        <f>(I15-I21-I22)/2</f>
        <v>12.818749999999998</v>
      </c>
      <c r="J23" s="23">
        <f>H23*30</f>
        <v>54.937499999999986</v>
      </c>
      <c r="K23" s="23">
        <f>H23*365</f>
        <v>668.40624999999989</v>
      </c>
    </row>
    <row r="24" spans="2:14" ht="15.75" x14ac:dyDescent="0.25">
      <c r="B24" s="2" t="s">
        <v>100</v>
      </c>
      <c r="C24" s="3"/>
      <c r="D24" s="23"/>
      <c r="E24" s="23"/>
      <c r="F24" s="23"/>
      <c r="G24" s="23"/>
      <c r="H24" s="23">
        <f>I24/7</f>
        <v>1.8312499999999996</v>
      </c>
      <c r="I24" s="32">
        <f>I23</f>
        <v>12.818749999999998</v>
      </c>
      <c r="J24" s="23">
        <f>H24*30</f>
        <v>54.937499999999986</v>
      </c>
      <c r="K24" s="23">
        <f>H24*365</f>
        <v>668.40624999999989</v>
      </c>
    </row>
    <row r="25" spans="2:14" ht="15.75" x14ac:dyDescent="0.25">
      <c r="G25" t="s">
        <v>99</v>
      </c>
      <c r="H25" s="32">
        <f>J25/30</f>
        <v>8.1978835978835978</v>
      </c>
      <c r="I25" s="32">
        <f>I20-SUM(I21:I24)</f>
        <v>43.866666666666674</v>
      </c>
      <c r="J25" s="32">
        <f>K25/12</f>
        <v>245.93650793650795</v>
      </c>
      <c r="K25" s="32">
        <f>K20-SUM(K21:K24)</f>
        <v>2951.2380952380954</v>
      </c>
    </row>
    <row r="26" spans="2:14" ht="15.75" x14ac:dyDescent="0.25">
      <c r="B26" s="593" t="s">
        <v>98</v>
      </c>
      <c r="C26" s="594"/>
      <c r="D26" s="594"/>
      <c r="E26" s="595"/>
    </row>
    <row r="27" spans="2:14" x14ac:dyDescent="0.25">
      <c r="B27" s="2"/>
      <c r="C27" s="2" t="s">
        <v>93</v>
      </c>
      <c r="D27" s="2" t="s">
        <v>94</v>
      </c>
      <c r="E27" s="2" t="s">
        <v>97</v>
      </c>
      <c r="I27" s="28"/>
    </row>
    <row r="28" spans="2:14" ht="15.75" x14ac:dyDescent="0.25">
      <c r="B28" s="2" t="s">
        <v>92</v>
      </c>
      <c r="C28" s="37">
        <v>8</v>
      </c>
      <c r="D28" s="37">
        <v>600</v>
      </c>
      <c r="E28" s="36">
        <f>C28*D28</f>
        <v>4800</v>
      </c>
    </row>
    <row r="29" spans="2:14" ht="15.75" x14ac:dyDescent="0.25">
      <c r="B29" s="2" t="s">
        <v>95</v>
      </c>
      <c r="C29" s="32">
        <f>E29/D29</f>
        <v>15.873015873015873</v>
      </c>
      <c r="D29" s="23">
        <f>450*0.7</f>
        <v>315</v>
      </c>
      <c r="E29" s="23">
        <v>5000</v>
      </c>
      <c r="F29" t="s">
        <v>96</v>
      </c>
    </row>
  </sheetData>
  <mergeCells count="2">
    <mergeCell ref="L3:O3"/>
    <mergeCell ref="B26:E26"/>
  </mergeCells>
  <pageMargins left="0.7" right="0.7" top="0.75" bottom="0.75" header="0.3" footer="0.3"/>
  <pageSetup orientation="portrait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1">
    <pageSetUpPr fitToPage="1"/>
  </sheetPr>
  <dimension ref="B3:B14"/>
  <sheetViews>
    <sheetView workbookViewId="0">
      <selection activeCell="D9" sqref="D9"/>
    </sheetView>
  </sheetViews>
  <sheetFormatPr baseColWidth="10" defaultColWidth="10.7109375" defaultRowHeight="15" x14ac:dyDescent="0.25"/>
  <cols>
    <col min="2" max="2" width="65.28515625" customWidth="1"/>
  </cols>
  <sheetData>
    <row r="3" spans="2:2" x14ac:dyDescent="0.25">
      <c r="B3" s="112" t="s">
        <v>334</v>
      </c>
    </row>
    <row r="4" spans="2:2" ht="45" x14ac:dyDescent="0.25">
      <c r="B4" s="112" t="s">
        <v>335</v>
      </c>
    </row>
    <row r="5" spans="2:2" ht="45" x14ac:dyDescent="0.25">
      <c r="B5" s="112" t="s">
        <v>336</v>
      </c>
    </row>
    <row r="6" spans="2:2" x14ac:dyDescent="0.25">
      <c r="B6" s="112" t="s">
        <v>337</v>
      </c>
    </row>
    <row r="7" spans="2:2" ht="120" x14ac:dyDescent="0.25">
      <c r="B7" s="112" t="s">
        <v>338</v>
      </c>
    </row>
    <row r="8" spans="2:2" x14ac:dyDescent="0.25">
      <c r="B8" s="112"/>
    </row>
    <row r="9" spans="2:2" x14ac:dyDescent="0.25">
      <c r="B9" s="112"/>
    </row>
    <row r="10" spans="2:2" x14ac:dyDescent="0.25">
      <c r="B10" s="112"/>
    </row>
    <row r="11" spans="2:2" x14ac:dyDescent="0.25">
      <c r="B11" s="112"/>
    </row>
    <row r="12" spans="2:2" x14ac:dyDescent="0.25">
      <c r="B12" s="112"/>
    </row>
    <row r="13" spans="2:2" x14ac:dyDescent="0.25">
      <c r="B13" s="112"/>
    </row>
    <row r="14" spans="2:2" x14ac:dyDescent="0.25">
      <c r="B14" s="112"/>
    </row>
  </sheetData>
  <pageMargins left="0.31496062992125984" right="0.31496062992125984" top="0.74803149606299213" bottom="0.74803149606299213" header="0.31496062992125984" footer="0.31496062992125984"/>
  <pageSetup scale="77" fitToHeight="2" orientation="landscape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2"/>
  <dimension ref="B6:P29"/>
  <sheetViews>
    <sheetView workbookViewId="0">
      <selection activeCell="F11" sqref="F11"/>
    </sheetView>
  </sheetViews>
  <sheetFormatPr baseColWidth="10" defaultColWidth="10.7109375" defaultRowHeight="15" x14ac:dyDescent="0.25"/>
  <cols>
    <col min="3" max="3" width="12.42578125" customWidth="1"/>
    <col min="4" max="4" width="8.5703125" customWidth="1"/>
    <col min="5" max="5" width="10.5703125" customWidth="1"/>
    <col min="7" max="7" width="12" customWidth="1"/>
  </cols>
  <sheetData>
    <row r="6" spans="3:16" x14ac:dyDescent="0.25">
      <c r="J6" s="2"/>
      <c r="K6" s="2" t="s">
        <v>183</v>
      </c>
      <c r="L6" s="2" t="s">
        <v>182</v>
      </c>
      <c r="M6" s="2"/>
      <c r="N6" s="2" t="s">
        <v>181</v>
      </c>
      <c r="O6" s="2" t="s">
        <v>83</v>
      </c>
      <c r="P6" s="2" t="s">
        <v>75</v>
      </c>
    </row>
    <row r="7" spans="3:16" x14ac:dyDescent="0.25">
      <c r="J7" s="52" t="s">
        <v>173</v>
      </c>
      <c r="K7" s="2">
        <v>2</v>
      </c>
      <c r="L7" s="2"/>
      <c r="M7" s="2"/>
      <c r="N7" s="2">
        <f>($D$11*K7)/50</f>
        <v>4</v>
      </c>
      <c r="O7" s="2">
        <v>30</v>
      </c>
      <c r="P7" s="2">
        <f t="shared" ref="P7:P14" si="0">O7*N7</f>
        <v>120</v>
      </c>
    </row>
    <row r="8" spans="3:16" x14ac:dyDescent="0.25">
      <c r="J8" s="52" t="s">
        <v>176</v>
      </c>
      <c r="K8" s="2">
        <v>1</v>
      </c>
      <c r="L8" s="2"/>
      <c r="M8" s="2"/>
      <c r="N8" s="2">
        <f>($D$11*K8)/50</f>
        <v>2</v>
      </c>
      <c r="O8" s="2">
        <v>30</v>
      </c>
      <c r="P8" s="2">
        <f t="shared" si="0"/>
        <v>60</v>
      </c>
    </row>
    <row r="9" spans="3:16" x14ac:dyDescent="0.25">
      <c r="E9" t="s">
        <v>161</v>
      </c>
      <c r="J9" s="52" t="s">
        <v>174</v>
      </c>
      <c r="K9" s="2">
        <v>1</v>
      </c>
      <c r="L9" s="2"/>
      <c r="M9" s="2"/>
      <c r="N9" s="2">
        <f>($D$11*K9)/50</f>
        <v>2</v>
      </c>
      <c r="O9" s="2">
        <v>30</v>
      </c>
      <c r="P9" s="2">
        <f t="shared" si="0"/>
        <v>60</v>
      </c>
    </row>
    <row r="10" spans="3:16" x14ac:dyDescent="0.25">
      <c r="C10" s="2"/>
      <c r="D10" s="2" t="s">
        <v>155</v>
      </c>
      <c r="E10" s="2" t="s">
        <v>156</v>
      </c>
      <c r="F10" s="2" t="s">
        <v>157</v>
      </c>
      <c r="G10" s="2" t="s">
        <v>158</v>
      </c>
      <c r="H10" s="2" t="s">
        <v>159</v>
      </c>
      <c r="J10" s="52" t="s">
        <v>175</v>
      </c>
      <c r="K10" s="2">
        <v>1</v>
      </c>
      <c r="L10" s="2"/>
      <c r="M10" s="2"/>
      <c r="N10" s="2">
        <f>($D$11*K10)/50</f>
        <v>2</v>
      </c>
      <c r="O10" s="2">
        <v>30</v>
      </c>
      <c r="P10" s="2">
        <f t="shared" si="0"/>
        <v>60</v>
      </c>
    </row>
    <row r="11" spans="3:16" x14ac:dyDescent="0.25">
      <c r="C11" s="2" t="s">
        <v>160</v>
      </c>
      <c r="D11" s="49">
        <v>100</v>
      </c>
      <c r="E11" s="48">
        <v>250</v>
      </c>
      <c r="F11" s="48">
        <v>1.7</v>
      </c>
      <c r="G11" s="48">
        <f>F11*E11</f>
        <v>425</v>
      </c>
      <c r="H11" s="49">
        <f>G11*D11</f>
        <v>42500</v>
      </c>
      <c r="J11" s="52" t="s">
        <v>177</v>
      </c>
      <c r="K11" s="2">
        <v>2</v>
      </c>
      <c r="L11" s="2">
        <v>10</v>
      </c>
      <c r="M11" s="2">
        <f>L11*K11*$D$11</f>
        <v>2000</v>
      </c>
      <c r="N11" s="2">
        <f>M11/500</f>
        <v>4</v>
      </c>
      <c r="O11" s="2">
        <v>30</v>
      </c>
      <c r="P11" s="2">
        <f t="shared" si="0"/>
        <v>120</v>
      </c>
    </row>
    <row r="12" spans="3:16" x14ac:dyDescent="0.25">
      <c r="D12" s="47"/>
      <c r="E12" s="47"/>
      <c r="F12" s="47"/>
      <c r="G12" s="47"/>
      <c r="H12" s="49">
        <f>F27</f>
        <v>6840</v>
      </c>
      <c r="J12" s="52" t="s">
        <v>178</v>
      </c>
      <c r="K12" s="2">
        <v>6</v>
      </c>
      <c r="L12" s="2">
        <v>10</v>
      </c>
      <c r="M12" s="2">
        <f>L12*K12*$D$11</f>
        <v>6000</v>
      </c>
      <c r="N12" s="2">
        <f>M12/500</f>
        <v>12</v>
      </c>
      <c r="O12" s="2">
        <v>30</v>
      </c>
      <c r="P12" s="2">
        <f t="shared" si="0"/>
        <v>360</v>
      </c>
    </row>
    <row r="13" spans="3:16" x14ac:dyDescent="0.25">
      <c r="C13" s="2" t="s">
        <v>162</v>
      </c>
      <c r="D13" s="48">
        <v>750</v>
      </c>
      <c r="E13" s="49">
        <f>($D$11*D13)/1000</f>
        <v>75</v>
      </c>
      <c r="F13" s="49"/>
      <c r="G13" s="49">
        <f>H13/D11</f>
        <v>493.4</v>
      </c>
      <c r="H13" s="49">
        <f>SUM(H11:H12)</f>
        <v>49340</v>
      </c>
      <c r="J13" s="52" t="s">
        <v>179</v>
      </c>
      <c r="K13" s="2">
        <v>6</v>
      </c>
      <c r="L13" s="2">
        <v>10</v>
      </c>
      <c r="M13" s="2">
        <f>L13*K13*$D$11</f>
        <v>6000</v>
      </c>
      <c r="N13" s="2">
        <f>M13/500</f>
        <v>12</v>
      </c>
      <c r="O13" s="2">
        <v>30</v>
      </c>
      <c r="P13" s="2">
        <f t="shared" si="0"/>
        <v>360</v>
      </c>
    </row>
    <row r="14" spans="3:16" x14ac:dyDescent="0.25">
      <c r="C14" t="s">
        <v>166</v>
      </c>
      <c r="D14" s="48">
        <f>E11</f>
        <v>250</v>
      </c>
      <c r="E14" s="49">
        <f>$D$11*D14</f>
        <v>25000</v>
      </c>
      <c r="F14" s="49"/>
      <c r="G14" s="47"/>
      <c r="H14" s="47"/>
      <c r="J14" s="52" t="s">
        <v>180</v>
      </c>
      <c r="K14" s="2">
        <v>6</v>
      </c>
      <c r="L14" s="2">
        <v>10</v>
      </c>
      <c r="M14" s="2">
        <f>L14*K14*$D$11</f>
        <v>6000</v>
      </c>
      <c r="N14" s="2">
        <f>M14/500</f>
        <v>12</v>
      </c>
      <c r="O14" s="2">
        <v>30</v>
      </c>
      <c r="P14" s="2">
        <f t="shared" si="0"/>
        <v>360</v>
      </c>
    </row>
    <row r="15" spans="3:16" x14ac:dyDescent="0.25">
      <c r="C15" s="2" t="s">
        <v>163</v>
      </c>
      <c r="D15" s="48">
        <v>520</v>
      </c>
      <c r="E15" s="49">
        <f>$D$11*D15</f>
        <v>52000</v>
      </c>
      <c r="F15" s="49"/>
      <c r="G15" s="47"/>
      <c r="H15" s="47"/>
      <c r="P15" s="53">
        <f>SUM(P7:P14)</f>
        <v>1500</v>
      </c>
    </row>
    <row r="16" spans="3:16" x14ac:dyDescent="0.25">
      <c r="C16" s="2" t="s">
        <v>164</v>
      </c>
      <c r="D16" s="48">
        <f>D15-E11</f>
        <v>270</v>
      </c>
      <c r="E16" s="49">
        <f>$D$11*D16</f>
        <v>27000</v>
      </c>
      <c r="F16" s="49">
        <f>E16*D18</f>
        <v>43200</v>
      </c>
      <c r="G16" s="47"/>
      <c r="H16" s="47"/>
      <c r="P16" s="53"/>
    </row>
    <row r="17" spans="2:10" x14ac:dyDescent="0.25">
      <c r="C17" s="2" t="s">
        <v>48</v>
      </c>
      <c r="D17" s="48">
        <f>D16/(D13/1000)</f>
        <v>360</v>
      </c>
      <c r="E17" s="48"/>
      <c r="F17" s="49"/>
      <c r="G17" s="47"/>
      <c r="H17" s="47"/>
    </row>
    <row r="18" spans="2:10" x14ac:dyDescent="0.25">
      <c r="C18" s="2" t="s">
        <v>165</v>
      </c>
      <c r="D18" s="48">
        <v>1.6</v>
      </c>
      <c r="E18" s="48"/>
      <c r="F18" s="49">
        <f>E15*D18</f>
        <v>83200</v>
      </c>
      <c r="G18" s="47"/>
      <c r="H18" s="47"/>
      <c r="J18" s="51"/>
    </row>
    <row r="19" spans="2:10" x14ac:dyDescent="0.25">
      <c r="B19" s="28">
        <f>(F19/D19)/D17</f>
        <v>7</v>
      </c>
      <c r="C19" s="2" t="s">
        <v>167</v>
      </c>
      <c r="D19" s="48">
        <v>2</v>
      </c>
      <c r="E19" s="48">
        <v>35</v>
      </c>
      <c r="F19" s="49">
        <f>(E19*(D17/7)*1.4)*D19</f>
        <v>5040</v>
      </c>
      <c r="G19" s="49">
        <f t="shared" ref="G19:G25" si="1">F19/$D$17</f>
        <v>14</v>
      </c>
    </row>
    <row r="20" spans="2:10" x14ac:dyDescent="0.25">
      <c r="B20">
        <v>0</v>
      </c>
      <c r="C20" s="2" t="s">
        <v>168</v>
      </c>
      <c r="D20" s="48">
        <f>B20*$D$11</f>
        <v>0</v>
      </c>
      <c r="E20" s="48">
        <f>2/40</f>
        <v>0.05</v>
      </c>
      <c r="F20" s="49">
        <f>E20*D20*D17</f>
        <v>0</v>
      </c>
      <c r="G20" s="49">
        <f t="shared" si="1"/>
        <v>0</v>
      </c>
    </row>
    <row r="21" spans="2:10" x14ac:dyDescent="0.25">
      <c r="C21" s="2" t="s">
        <v>172</v>
      </c>
      <c r="D21" s="48"/>
      <c r="E21" s="48"/>
      <c r="F21" s="49"/>
      <c r="G21" s="49">
        <f t="shared" si="1"/>
        <v>0</v>
      </c>
    </row>
    <row r="22" spans="2:10" x14ac:dyDescent="0.25">
      <c r="C22" s="2" t="s">
        <v>169</v>
      </c>
      <c r="D22" s="48"/>
      <c r="E22" s="48"/>
      <c r="F22" s="49">
        <f>SUM(P7:P10)</f>
        <v>300</v>
      </c>
      <c r="G22" s="49">
        <f t="shared" si="1"/>
        <v>0.83333333333333337</v>
      </c>
    </row>
    <row r="23" spans="2:10" x14ac:dyDescent="0.25">
      <c r="C23" s="2" t="s">
        <v>170</v>
      </c>
      <c r="D23" s="48"/>
      <c r="E23" s="48"/>
      <c r="F23" s="49">
        <f>P12</f>
        <v>360</v>
      </c>
      <c r="G23" s="49">
        <f t="shared" si="1"/>
        <v>1</v>
      </c>
    </row>
    <row r="24" spans="2:10" x14ac:dyDescent="0.25">
      <c r="C24" s="2" t="s">
        <v>171</v>
      </c>
      <c r="D24" s="48"/>
      <c r="E24" s="48"/>
      <c r="F24" s="49">
        <f>P14+P13</f>
        <v>720</v>
      </c>
      <c r="G24" s="49">
        <f t="shared" si="1"/>
        <v>2</v>
      </c>
    </row>
    <row r="25" spans="2:10" x14ac:dyDescent="0.25">
      <c r="C25" s="2" t="s">
        <v>177</v>
      </c>
      <c r="D25" s="48"/>
      <c r="E25" s="48"/>
      <c r="F25" s="49">
        <f>P11</f>
        <v>120</v>
      </c>
      <c r="G25" s="49">
        <f t="shared" si="1"/>
        <v>0.33333333333333331</v>
      </c>
    </row>
    <row r="26" spans="2:10" x14ac:dyDescent="0.25">
      <c r="C26" s="2" t="s">
        <v>21</v>
      </c>
      <c r="D26" s="48">
        <v>6</v>
      </c>
      <c r="E26" s="48">
        <v>50</v>
      </c>
      <c r="F26" s="49">
        <f>E26*D26</f>
        <v>300</v>
      </c>
      <c r="G26" s="49">
        <f>F26/$D$17</f>
        <v>0.83333333333333337</v>
      </c>
    </row>
    <row r="27" spans="2:10" x14ac:dyDescent="0.25">
      <c r="E27" s="49"/>
      <c r="F27" s="49">
        <f>SUM(F19:F26)</f>
        <v>6840</v>
      </c>
    </row>
    <row r="28" spans="2:10" x14ac:dyDescent="0.25">
      <c r="E28" s="49">
        <f>F28/D17</f>
        <v>94.055555555555557</v>
      </c>
      <c r="F28" s="49">
        <f>F18-H13</f>
        <v>33860</v>
      </c>
    </row>
    <row r="29" spans="2:10" x14ac:dyDescent="0.25">
      <c r="F29" s="50">
        <f>F28/H13</f>
        <v>0.68625861370085128</v>
      </c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3"/>
  <dimension ref="A3:G34"/>
  <sheetViews>
    <sheetView workbookViewId="0">
      <selection activeCell="E14" sqref="E14"/>
    </sheetView>
  </sheetViews>
  <sheetFormatPr baseColWidth="10" defaultColWidth="10.7109375" defaultRowHeight="15" x14ac:dyDescent="0.25"/>
  <cols>
    <col min="1" max="1" width="9.140625" customWidth="1"/>
    <col min="2" max="2" width="6.5703125" customWidth="1"/>
    <col min="3" max="3" width="17.28515625" customWidth="1"/>
    <col min="4" max="7" width="11.42578125" style="1"/>
  </cols>
  <sheetData>
    <row r="3" spans="1:7" x14ac:dyDescent="0.25">
      <c r="C3" s="39" t="s">
        <v>222</v>
      </c>
      <c r="D3" s="39" t="s">
        <v>86</v>
      </c>
      <c r="E3" s="39" t="s">
        <v>223</v>
      </c>
      <c r="F3" s="39" t="s">
        <v>88</v>
      </c>
      <c r="G3" s="39" t="s">
        <v>87</v>
      </c>
    </row>
    <row r="4" spans="1:7" x14ac:dyDescent="0.25">
      <c r="C4" s="2"/>
      <c r="D4" s="56"/>
      <c r="E4" s="56"/>
      <c r="F4" s="56"/>
      <c r="G4" s="56"/>
    </row>
    <row r="5" spans="1:7" x14ac:dyDescent="0.25">
      <c r="C5" s="2" t="s">
        <v>224</v>
      </c>
      <c r="D5" s="57">
        <f>E5/7</f>
        <v>5</v>
      </c>
      <c r="E5" s="57">
        <v>35</v>
      </c>
      <c r="F5" s="57">
        <f t="shared" ref="F5:F15" si="0">E5/7*30</f>
        <v>150</v>
      </c>
      <c r="G5" s="57">
        <f>F5*12</f>
        <v>1800</v>
      </c>
    </row>
    <row r="6" spans="1:7" x14ac:dyDescent="0.25">
      <c r="C6" s="2" t="s">
        <v>63</v>
      </c>
      <c r="D6" s="57">
        <f t="shared" ref="D6:D13" si="1">E6/7</f>
        <v>5</v>
      </c>
      <c r="E6" s="57">
        <v>35</v>
      </c>
      <c r="F6" s="57">
        <f t="shared" si="0"/>
        <v>150</v>
      </c>
      <c r="G6" s="57">
        <f t="shared" ref="G6:G14" si="2">F6*12</f>
        <v>1800</v>
      </c>
    </row>
    <row r="7" spans="1:7" x14ac:dyDescent="0.25">
      <c r="C7" s="2" t="s">
        <v>225</v>
      </c>
      <c r="D7" s="57">
        <f t="shared" si="1"/>
        <v>3.5714285714285716</v>
      </c>
      <c r="E7" s="57">
        <v>25</v>
      </c>
      <c r="F7" s="57">
        <f t="shared" si="0"/>
        <v>107.14285714285715</v>
      </c>
      <c r="G7" s="57">
        <f t="shared" si="2"/>
        <v>1285.7142857142858</v>
      </c>
    </row>
    <row r="8" spans="1:7" x14ac:dyDescent="0.25">
      <c r="C8" s="2" t="s">
        <v>226</v>
      </c>
      <c r="D8" s="57">
        <f t="shared" si="1"/>
        <v>4.2857142857142856</v>
      </c>
      <c r="E8" s="57">
        <v>30</v>
      </c>
      <c r="F8" s="57">
        <f t="shared" si="0"/>
        <v>128.57142857142856</v>
      </c>
      <c r="G8" s="57">
        <f t="shared" si="2"/>
        <v>1542.8571428571427</v>
      </c>
    </row>
    <row r="9" spans="1:7" x14ac:dyDescent="0.25">
      <c r="C9" s="2" t="s">
        <v>227</v>
      </c>
      <c r="D9" s="57">
        <f t="shared" si="1"/>
        <v>8.5714285714285712</v>
      </c>
      <c r="E9" s="57">
        <v>60</v>
      </c>
      <c r="F9" s="57">
        <f t="shared" si="0"/>
        <v>257.14285714285711</v>
      </c>
      <c r="G9" s="57">
        <f t="shared" si="2"/>
        <v>3085.7142857142853</v>
      </c>
    </row>
    <row r="10" spans="1:7" x14ac:dyDescent="0.25">
      <c r="C10" s="2" t="s">
        <v>228</v>
      </c>
      <c r="D10" s="57">
        <f t="shared" si="1"/>
        <v>4.2857142857142856</v>
      </c>
      <c r="E10" s="57">
        <v>30</v>
      </c>
      <c r="F10" s="57">
        <f t="shared" si="0"/>
        <v>128.57142857142856</v>
      </c>
      <c r="G10" s="57">
        <f t="shared" si="2"/>
        <v>1542.8571428571427</v>
      </c>
    </row>
    <row r="11" spans="1:7" x14ac:dyDescent="0.25">
      <c r="C11" s="2" t="s">
        <v>229</v>
      </c>
      <c r="D11" s="57">
        <f t="shared" si="1"/>
        <v>4.2857142857142856</v>
      </c>
      <c r="E11" s="57">
        <v>30</v>
      </c>
      <c r="F11" s="57">
        <f t="shared" si="0"/>
        <v>128.57142857142856</v>
      </c>
      <c r="G11" s="57">
        <f t="shared" si="2"/>
        <v>1542.8571428571427</v>
      </c>
    </row>
    <row r="12" spans="1:7" x14ac:dyDescent="0.25">
      <c r="C12" s="2" t="s">
        <v>230</v>
      </c>
      <c r="D12" s="57">
        <f t="shared" si="1"/>
        <v>14.285714285714286</v>
      </c>
      <c r="E12" s="57">
        <v>100</v>
      </c>
      <c r="F12" s="57">
        <f t="shared" si="0"/>
        <v>428.57142857142861</v>
      </c>
      <c r="G12" s="57">
        <f t="shared" si="2"/>
        <v>5142.8571428571431</v>
      </c>
    </row>
    <row r="13" spans="1:7" x14ac:dyDescent="0.25">
      <c r="C13" s="2" t="s">
        <v>231</v>
      </c>
      <c r="D13" s="57">
        <f t="shared" si="1"/>
        <v>14.285714285714286</v>
      </c>
      <c r="E13" s="57">
        <v>100</v>
      </c>
      <c r="F13" s="57">
        <f t="shared" si="0"/>
        <v>428.57142857142861</v>
      </c>
      <c r="G13" s="57">
        <f t="shared" si="2"/>
        <v>5142.8571428571431</v>
      </c>
    </row>
    <row r="14" spans="1:7" x14ac:dyDescent="0.25">
      <c r="A14" t="s">
        <v>232</v>
      </c>
      <c r="B14" s="57">
        <f>70/15</f>
        <v>4.666666666666667</v>
      </c>
      <c r="C14" s="2" t="s">
        <v>233</v>
      </c>
      <c r="D14" s="57">
        <v>35</v>
      </c>
      <c r="E14" s="57">
        <v>100</v>
      </c>
      <c r="F14" s="57">
        <f t="shared" si="0"/>
        <v>428.57142857142861</v>
      </c>
      <c r="G14" s="57">
        <f t="shared" si="2"/>
        <v>5142.8571428571431</v>
      </c>
    </row>
    <row r="15" spans="1:7" x14ac:dyDescent="0.25">
      <c r="C15" s="2" t="s">
        <v>242</v>
      </c>
      <c r="D15" s="57">
        <v>35</v>
      </c>
      <c r="E15" s="57">
        <v>101</v>
      </c>
      <c r="F15" s="57">
        <f t="shared" si="0"/>
        <v>432.85714285714289</v>
      </c>
      <c r="G15" s="57">
        <f>F15*12</f>
        <v>5194.2857142857147</v>
      </c>
    </row>
    <row r="16" spans="1:7" x14ac:dyDescent="0.25">
      <c r="C16" s="2"/>
      <c r="D16" s="57"/>
      <c r="E16" s="57"/>
      <c r="F16" s="57"/>
      <c r="G16" s="57"/>
    </row>
    <row r="17" spans="3:7" x14ac:dyDescent="0.25">
      <c r="C17" s="2"/>
      <c r="D17" s="57"/>
      <c r="E17" s="57"/>
      <c r="F17" s="57"/>
      <c r="G17" s="57"/>
    </row>
    <row r="18" spans="3:7" x14ac:dyDescent="0.25">
      <c r="C18" s="2"/>
      <c r="D18" s="57">
        <f>SUM(D5:D17)</f>
        <v>133.57142857142856</v>
      </c>
      <c r="E18" s="57">
        <f>SUM(E5:E17)</f>
        <v>646</v>
      </c>
      <c r="F18" s="57">
        <f>SUM(F5:F17)</f>
        <v>2768.5714285714284</v>
      </c>
      <c r="G18" s="57">
        <f>SUM(G5:G17)</f>
        <v>33222.857142857152</v>
      </c>
    </row>
    <row r="20" spans="3:7" x14ac:dyDescent="0.25">
      <c r="C20" s="2" t="s">
        <v>234</v>
      </c>
      <c r="D20" s="58">
        <v>40</v>
      </c>
      <c r="E20" s="58"/>
      <c r="F20" s="58"/>
      <c r="G20" s="58"/>
    </row>
    <row r="21" spans="3:7" x14ac:dyDescent="0.25">
      <c r="C21" s="2" t="s">
        <v>235</v>
      </c>
      <c r="D21" s="57">
        <f>D22/D20</f>
        <v>6.6785714285714279</v>
      </c>
      <c r="E21" s="57"/>
      <c r="F21" s="57"/>
      <c r="G21" s="57"/>
    </row>
    <row r="22" spans="3:7" x14ac:dyDescent="0.25">
      <c r="C22" s="2" t="s">
        <v>236</v>
      </c>
      <c r="D22" s="57">
        <f>D24*D23</f>
        <v>267.14285714285711</v>
      </c>
      <c r="E22" s="57"/>
      <c r="F22" s="57"/>
      <c r="G22" s="57"/>
    </row>
    <row r="23" spans="3:7" x14ac:dyDescent="0.25">
      <c r="C23" s="2" t="s">
        <v>237</v>
      </c>
      <c r="D23" s="57">
        <v>8</v>
      </c>
      <c r="E23" s="57"/>
      <c r="F23" s="57"/>
      <c r="G23" s="57"/>
    </row>
    <row r="24" spans="3:7" x14ac:dyDescent="0.25">
      <c r="C24" s="2" t="s">
        <v>238</v>
      </c>
      <c r="D24" s="57">
        <f>D26/D25</f>
        <v>33.392857142857139</v>
      </c>
      <c r="E24" s="57"/>
      <c r="F24" s="57"/>
      <c r="G24" s="57"/>
    </row>
    <row r="25" spans="3:7" x14ac:dyDescent="0.25">
      <c r="C25" s="2" t="s">
        <v>94</v>
      </c>
      <c r="D25" s="57">
        <v>4</v>
      </c>
      <c r="E25" s="57"/>
      <c r="F25" s="57"/>
      <c r="G25" s="57"/>
    </row>
    <row r="26" spans="3:7" x14ac:dyDescent="0.25">
      <c r="C26" s="2" t="s">
        <v>239</v>
      </c>
      <c r="D26" s="57">
        <f>D18</f>
        <v>133.57142857142856</v>
      </c>
      <c r="E26" s="57"/>
      <c r="F26" s="57"/>
      <c r="G26" s="57"/>
    </row>
    <row r="28" spans="3:7" x14ac:dyDescent="0.25">
      <c r="C28" s="2" t="s">
        <v>234</v>
      </c>
      <c r="D28" s="58">
        <v>15</v>
      </c>
      <c r="E28" s="58">
        <f t="shared" ref="E28:G29" si="3">D28</f>
        <v>15</v>
      </c>
      <c r="F28" s="58">
        <f t="shared" si="3"/>
        <v>15</v>
      </c>
      <c r="G28" s="58">
        <f t="shared" si="3"/>
        <v>15</v>
      </c>
    </row>
    <row r="29" spans="3:7" x14ac:dyDescent="0.25">
      <c r="C29" s="2" t="s">
        <v>235</v>
      </c>
      <c r="D29" s="57">
        <v>4</v>
      </c>
      <c r="E29" s="57">
        <f t="shared" si="3"/>
        <v>4</v>
      </c>
      <c r="F29" s="57">
        <f t="shared" si="3"/>
        <v>4</v>
      </c>
      <c r="G29" s="57">
        <f t="shared" si="3"/>
        <v>4</v>
      </c>
    </row>
    <row r="30" spans="3:7" x14ac:dyDescent="0.25">
      <c r="C30" s="2" t="s">
        <v>236</v>
      </c>
      <c r="D30" s="57">
        <f>D28*D29</f>
        <v>60</v>
      </c>
      <c r="E30" s="57">
        <f>D30*7</f>
        <v>420</v>
      </c>
      <c r="F30" s="57">
        <f>D30*30</f>
        <v>1800</v>
      </c>
      <c r="G30" s="57">
        <f>F30*12</f>
        <v>21600</v>
      </c>
    </row>
    <row r="31" spans="3:7" x14ac:dyDescent="0.25">
      <c r="C31" s="2" t="s">
        <v>237</v>
      </c>
      <c r="D31" s="57">
        <v>8</v>
      </c>
      <c r="E31" s="57">
        <f>D31</f>
        <v>8</v>
      </c>
      <c r="F31" s="57">
        <f>E31</f>
        <v>8</v>
      </c>
      <c r="G31" s="57">
        <f>F31</f>
        <v>8</v>
      </c>
    </row>
    <row r="32" spans="3:7" x14ac:dyDescent="0.25">
      <c r="C32" s="2" t="s">
        <v>238</v>
      </c>
      <c r="D32" s="57">
        <f>D30/D31</f>
        <v>7.5</v>
      </c>
      <c r="E32" s="57">
        <f>E30/E31</f>
        <v>52.5</v>
      </c>
      <c r="F32" s="57">
        <f>F30/F31</f>
        <v>225</v>
      </c>
      <c r="G32" s="57">
        <f>G30/G31</f>
        <v>2700</v>
      </c>
    </row>
    <row r="33" spans="3:7" x14ac:dyDescent="0.25">
      <c r="C33" s="2" t="s">
        <v>94</v>
      </c>
      <c r="D33" s="57">
        <v>4</v>
      </c>
      <c r="E33" s="57">
        <v>4</v>
      </c>
      <c r="F33" s="57">
        <v>4</v>
      </c>
      <c r="G33" s="57">
        <v>4</v>
      </c>
    </row>
    <row r="34" spans="3:7" x14ac:dyDescent="0.25">
      <c r="C34" s="2"/>
      <c r="D34" s="57">
        <f>D32*D33</f>
        <v>30</v>
      </c>
      <c r="E34" s="57">
        <f>E32*E33</f>
        <v>210</v>
      </c>
      <c r="F34" s="57">
        <f>F32*F33</f>
        <v>900</v>
      </c>
      <c r="G34" s="57">
        <f>G32*G33</f>
        <v>10800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4"/>
  <dimension ref="B3:I10"/>
  <sheetViews>
    <sheetView workbookViewId="0">
      <selection activeCell="H10" sqref="H10"/>
    </sheetView>
  </sheetViews>
  <sheetFormatPr baseColWidth="10" defaultColWidth="10.7109375" defaultRowHeight="15" x14ac:dyDescent="0.25"/>
  <cols>
    <col min="2" max="2" width="13.5703125" customWidth="1"/>
    <col min="3" max="3" width="11.85546875" bestFit="1" customWidth="1"/>
  </cols>
  <sheetData>
    <row r="3" spans="2:9" ht="18.75" x14ac:dyDescent="0.3">
      <c r="B3" s="2"/>
      <c r="C3" s="64" t="s">
        <v>254</v>
      </c>
      <c r="D3" s="2"/>
      <c r="G3" s="64" t="s">
        <v>255</v>
      </c>
      <c r="H3" s="2"/>
      <c r="I3" s="2"/>
    </row>
    <row r="4" spans="2:9" ht="18.75" x14ac:dyDescent="0.3">
      <c r="B4" s="2" t="s">
        <v>250</v>
      </c>
      <c r="C4" s="65">
        <v>25</v>
      </c>
      <c r="D4" s="2"/>
      <c r="G4" s="2" t="s">
        <v>250</v>
      </c>
      <c r="H4" s="2">
        <v>45</v>
      </c>
      <c r="I4" s="2"/>
    </row>
    <row r="5" spans="2:9" ht="18.75" x14ac:dyDescent="0.3">
      <c r="B5" s="2" t="s">
        <v>244</v>
      </c>
      <c r="C5" s="65">
        <v>30</v>
      </c>
      <c r="D5" s="2"/>
      <c r="G5" s="2" t="s">
        <v>256</v>
      </c>
      <c r="H5" s="2">
        <v>70</v>
      </c>
      <c r="I5" s="2"/>
    </row>
    <row r="6" spans="2:9" x14ac:dyDescent="0.25">
      <c r="B6" s="2"/>
      <c r="C6" s="23"/>
      <c r="D6" s="2"/>
      <c r="G6" s="2" t="s">
        <v>256</v>
      </c>
      <c r="H6" s="2">
        <v>70</v>
      </c>
      <c r="I6" s="2"/>
    </row>
    <row r="7" spans="2:9" x14ac:dyDescent="0.25">
      <c r="B7" s="2" t="s">
        <v>245</v>
      </c>
      <c r="C7" s="23">
        <f>2*3.1416*(C5/2)</f>
        <v>94.248000000000005</v>
      </c>
      <c r="D7" s="2" t="s">
        <v>251</v>
      </c>
      <c r="G7" s="2" t="s">
        <v>257</v>
      </c>
      <c r="H7" s="2">
        <f>(H6*H5*H4)/1000</f>
        <v>220.5</v>
      </c>
      <c r="I7" s="2" t="s">
        <v>258</v>
      </c>
    </row>
    <row r="8" spans="2:9" x14ac:dyDescent="0.25">
      <c r="B8" s="2" t="s">
        <v>246</v>
      </c>
      <c r="C8" s="23">
        <f>(3.1416*POWER(C5/2,2)*C4)/1000</f>
        <v>17.671500000000002</v>
      </c>
      <c r="D8" s="2" t="s">
        <v>247</v>
      </c>
      <c r="G8" s="2" t="s">
        <v>259</v>
      </c>
      <c r="H8" s="2">
        <f>(H5*H6)/1000</f>
        <v>4.9000000000000004</v>
      </c>
      <c r="I8" s="2"/>
    </row>
    <row r="9" spans="2:9" x14ac:dyDescent="0.25">
      <c r="B9" s="2" t="s">
        <v>248</v>
      </c>
      <c r="C9" s="23">
        <v>0.8</v>
      </c>
      <c r="D9" s="2" t="s">
        <v>252</v>
      </c>
    </row>
    <row r="10" spans="2:9" x14ac:dyDescent="0.25">
      <c r="B10" s="2" t="s">
        <v>249</v>
      </c>
      <c r="C10" s="23">
        <f>C8*C9</f>
        <v>14.137200000000002</v>
      </c>
      <c r="D10" s="23" t="s">
        <v>253</v>
      </c>
      <c r="G10">
        <v>100</v>
      </c>
      <c r="H10">
        <f>G10/H8</f>
        <v>20.408163265306122</v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5"/>
  <dimension ref="B2:P65"/>
  <sheetViews>
    <sheetView topLeftCell="A4" workbookViewId="0">
      <selection activeCell="C4" sqref="C4"/>
    </sheetView>
  </sheetViews>
  <sheetFormatPr baseColWidth="10" defaultColWidth="10.7109375" defaultRowHeight="15" x14ac:dyDescent="0.25"/>
  <cols>
    <col min="2" max="2" width="13.5703125" customWidth="1"/>
    <col min="3" max="3" width="11.85546875" bestFit="1" customWidth="1"/>
    <col min="4" max="4" width="12.85546875" customWidth="1"/>
    <col min="5" max="5" width="10.7109375" customWidth="1"/>
    <col min="6" max="6" width="9.140625" customWidth="1"/>
    <col min="7" max="7" width="10.28515625" customWidth="1"/>
    <col min="11" max="11" width="5.42578125" customWidth="1"/>
    <col min="12" max="12" width="4.140625" customWidth="1"/>
    <col min="13" max="13" width="11.85546875" bestFit="1" customWidth="1"/>
  </cols>
  <sheetData>
    <row r="2" spans="2:16" ht="15.75" thickBot="1" x14ac:dyDescent="0.3"/>
    <row r="3" spans="2:16" x14ac:dyDescent="0.25">
      <c r="B3" s="72" t="s">
        <v>260</v>
      </c>
      <c r="C3" s="66">
        <v>10000</v>
      </c>
      <c r="D3" s="67"/>
      <c r="E3" s="68"/>
      <c r="F3" s="67"/>
      <c r="G3" s="68"/>
    </row>
    <row r="4" spans="2:16" x14ac:dyDescent="0.25">
      <c r="B4" s="73" t="s">
        <v>261</v>
      </c>
      <c r="C4" s="71">
        <v>0.6</v>
      </c>
      <c r="D4" s="74" t="s">
        <v>264</v>
      </c>
      <c r="E4" s="69">
        <f>C4/12</f>
        <v>4.9999999999999996E-2</v>
      </c>
      <c r="F4" s="74" t="s">
        <v>223</v>
      </c>
      <c r="G4" s="69">
        <f>C4/52</f>
        <v>1.1538461538461537E-2</v>
      </c>
    </row>
    <row r="5" spans="2:16" x14ac:dyDescent="0.25">
      <c r="B5" s="73" t="s">
        <v>263</v>
      </c>
      <c r="C5" s="70">
        <v>2</v>
      </c>
      <c r="D5" s="74" t="s">
        <v>47</v>
      </c>
      <c r="E5" s="75">
        <f>C5*12</f>
        <v>24</v>
      </c>
      <c r="F5" s="74" t="s">
        <v>265</v>
      </c>
      <c r="G5" s="75">
        <f>C5*52</f>
        <v>104</v>
      </c>
    </row>
    <row r="6" spans="2:16" ht="15.75" thickBot="1" x14ac:dyDescent="0.3">
      <c r="B6" s="76" t="s">
        <v>262</v>
      </c>
      <c r="C6" s="78">
        <f>PMT(C4,C5,-C3)</f>
        <v>9846.1538461538457</v>
      </c>
      <c r="D6" s="77" t="s">
        <v>262</v>
      </c>
      <c r="E6" s="78">
        <f>PMT(E4,E5,-C3)</f>
        <v>724.70900752686998</v>
      </c>
      <c r="F6" s="77" t="s">
        <v>262</v>
      </c>
      <c r="G6" s="78">
        <f>PMT(G4,G5,-C3)</f>
        <v>165.60894300583735</v>
      </c>
    </row>
    <row r="7" spans="2:16" x14ac:dyDescent="0.25">
      <c r="E7" s="35">
        <f>E6*E5</f>
        <v>17393.016180644881</v>
      </c>
      <c r="F7" s="35"/>
      <c r="G7" s="35">
        <f>G6*G5</f>
        <v>17223.330072607085</v>
      </c>
    </row>
    <row r="9" spans="2:16" x14ac:dyDescent="0.25">
      <c r="B9" s="79" t="s">
        <v>267</v>
      </c>
      <c r="C9" s="80">
        <v>20000</v>
      </c>
    </row>
    <row r="10" spans="2:16" x14ac:dyDescent="0.25">
      <c r="B10" s="79" t="s">
        <v>271</v>
      </c>
      <c r="C10" s="81">
        <v>0.36</v>
      </c>
      <c r="D10" t="s">
        <v>272</v>
      </c>
      <c r="E10" s="50">
        <v>0.03</v>
      </c>
    </row>
    <row r="11" spans="2:16" x14ac:dyDescent="0.25">
      <c r="B11" s="79" t="s">
        <v>266</v>
      </c>
      <c r="C11" s="79">
        <v>24</v>
      </c>
      <c r="D11" t="s">
        <v>273</v>
      </c>
      <c r="E11" s="50">
        <f>C10/C11</f>
        <v>1.4999999999999999E-2</v>
      </c>
      <c r="N11" s="311" t="s">
        <v>86</v>
      </c>
      <c r="O11" s="311" t="s">
        <v>554</v>
      </c>
      <c r="P11" s="311" t="s">
        <v>88</v>
      </c>
    </row>
    <row r="12" spans="2:16" x14ac:dyDescent="0.25">
      <c r="B12" s="59" t="s">
        <v>270</v>
      </c>
      <c r="C12" s="59" t="s">
        <v>267</v>
      </c>
      <c r="D12" s="59" t="s">
        <v>268</v>
      </c>
      <c r="E12" s="59" t="s">
        <v>274</v>
      </c>
      <c r="F12" s="59" t="s">
        <v>275</v>
      </c>
      <c r="G12" s="59" t="s">
        <v>276</v>
      </c>
      <c r="H12" s="59" t="s">
        <v>269</v>
      </c>
      <c r="I12" s="313" t="s">
        <v>488</v>
      </c>
      <c r="J12" s="35">
        <v>5</v>
      </c>
      <c r="M12" s="313" t="s">
        <v>551</v>
      </c>
      <c r="N12" s="57">
        <v>30</v>
      </c>
      <c r="O12" s="57"/>
      <c r="P12" s="57"/>
    </row>
    <row r="13" spans="2:16" x14ac:dyDescent="0.25">
      <c r="B13" s="59">
        <v>1</v>
      </c>
      <c r="C13" s="35">
        <f>C9</f>
        <v>20000</v>
      </c>
      <c r="D13" s="82">
        <f>$C$10/12</f>
        <v>0.03</v>
      </c>
      <c r="E13" s="35">
        <f t="shared" ref="E13:E24" si="0">IPMT($D$13,B13,$C$11,-$C$9)</f>
        <v>600</v>
      </c>
      <c r="F13" s="35">
        <f t="shared" ref="F13:F24" si="1">PPMT(D13,B13,$C$11,-$C$9)</f>
        <v>580.94831897939753</v>
      </c>
      <c r="G13" s="35">
        <f t="shared" ref="G13:G24" si="2">PMT($D$13,$C$11,-$C$9)</f>
        <v>1180.9483189793975</v>
      </c>
      <c r="H13" s="35">
        <f t="shared" ref="H13:H24" si="3">C13-F13</f>
        <v>19419.051681020603</v>
      </c>
      <c r="I13" s="313" t="s">
        <v>549</v>
      </c>
      <c r="J13" s="35">
        <f>G13/30</f>
        <v>39.364943965979919</v>
      </c>
      <c r="M13" s="313" t="s">
        <v>555</v>
      </c>
      <c r="N13" s="57">
        <f>G13/24</f>
        <v>49.206179957474895</v>
      </c>
      <c r="O13" s="57">
        <f>N13*6</f>
        <v>295.23707974484938</v>
      </c>
      <c r="P13" s="57">
        <f>N13*24</f>
        <v>1180.9483189793975</v>
      </c>
    </row>
    <row r="14" spans="2:16" x14ac:dyDescent="0.25">
      <c r="B14" s="59">
        <f t="shared" ref="B14:B24" si="4">B13+1</f>
        <v>2</v>
      </c>
      <c r="C14" s="35">
        <f t="shared" ref="C14:C24" si="5">H13</f>
        <v>19419.051681020603</v>
      </c>
      <c r="D14" s="82">
        <f t="shared" ref="D14:D48" si="6">$C$10/12</f>
        <v>0.03</v>
      </c>
      <c r="E14" s="35">
        <f t="shared" si="0"/>
        <v>582.571550430618</v>
      </c>
      <c r="F14" s="35">
        <f t="shared" si="1"/>
        <v>598.37676854877941</v>
      </c>
      <c r="G14" s="35">
        <f t="shared" si="2"/>
        <v>1180.9483189793975</v>
      </c>
      <c r="H14" s="35">
        <f t="shared" si="3"/>
        <v>18820.674912471823</v>
      </c>
      <c r="I14" s="313" t="s">
        <v>550</v>
      </c>
      <c r="J14" s="35">
        <f>J13/J12</f>
        <v>7.8729887931959839</v>
      </c>
      <c r="M14" s="313" t="s">
        <v>282</v>
      </c>
      <c r="N14" s="57">
        <f>35</f>
        <v>35</v>
      </c>
      <c r="O14" s="57">
        <f>N14*6</f>
        <v>210</v>
      </c>
      <c r="P14" s="57">
        <f>N14*24</f>
        <v>840</v>
      </c>
    </row>
    <row r="15" spans="2:16" x14ac:dyDescent="0.25">
      <c r="B15" s="59">
        <f t="shared" si="4"/>
        <v>3</v>
      </c>
      <c r="C15" s="35">
        <f t="shared" si="5"/>
        <v>18820.674912471823</v>
      </c>
      <c r="D15" s="82">
        <f t="shared" si="6"/>
        <v>0.03</v>
      </c>
      <c r="E15" s="35">
        <f t="shared" si="0"/>
        <v>564.6202473741547</v>
      </c>
      <c r="F15" s="35">
        <f t="shared" si="1"/>
        <v>616.32807160524283</v>
      </c>
      <c r="G15" s="35">
        <f t="shared" si="2"/>
        <v>1180.9483189793975</v>
      </c>
      <c r="H15" s="35">
        <f t="shared" si="3"/>
        <v>18204.346840866579</v>
      </c>
      <c r="I15" s="313" t="s">
        <v>258</v>
      </c>
      <c r="J15" s="35">
        <f>J14*K15</f>
        <v>65.345806983526671</v>
      </c>
      <c r="K15" s="35">
        <v>8.3000000000000007</v>
      </c>
      <c r="M15" s="313" t="s">
        <v>553</v>
      </c>
      <c r="N15" s="57">
        <f>35</f>
        <v>35</v>
      </c>
      <c r="O15" s="57">
        <f>N15*6</f>
        <v>210</v>
      </c>
      <c r="P15" s="57">
        <f>N15*24</f>
        <v>840</v>
      </c>
    </row>
    <row r="16" spans="2:16" x14ac:dyDescent="0.25">
      <c r="B16" s="59">
        <f t="shared" si="4"/>
        <v>4</v>
      </c>
      <c r="C16" s="35">
        <f t="shared" si="5"/>
        <v>18204.346840866579</v>
      </c>
      <c r="D16" s="82">
        <f t="shared" si="6"/>
        <v>0.03</v>
      </c>
      <c r="E16" s="35">
        <f t="shared" si="0"/>
        <v>546.13040522599738</v>
      </c>
      <c r="F16" s="35">
        <f t="shared" si="1"/>
        <v>634.81791375340015</v>
      </c>
      <c r="G16" s="35">
        <f t="shared" si="2"/>
        <v>1180.9483189793975</v>
      </c>
      <c r="H16" s="35">
        <f t="shared" si="3"/>
        <v>17569.528927113181</v>
      </c>
      <c r="I16" s="313" t="s">
        <v>234</v>
      </c>
      <c r="J16" s="35">
        <f>J15/K16</f>
        <v>8.1682258729408339</v>
      </c>
      <c r="K16" s="35">
        <v>8</v>
      </c>
      <c r="M16" s="313" t="s">
        <v>552</v>
      </c>
      <c r="N16" s="57">
        <f>(N13+N14+N15)/(N12/100)</f>
        <v>397.353933191583</v>
      </c>
      <c r="O16" s="57">
        <f>N16*6</f>
        <v>2384.1235991494977</v>
      </c>
      <c r="P16" s="57">
        <f>N16*24</f>
        <v>9536.494396597991</v>
      </c>
    </row>
    <row r="17" spans="2:9" x14ac:dyDescent="0.25">
      <c r="B17" s="59">
        <f t="shared" si="4"/>
        <v>5</v>
      </c>
      <c r="C17" s="35">
        <f t="shared" si="5"/>
        <v>17569.528927113181</v>
      </c>
      <c r="D17" s="82">
        <f t="shared" si="6"/>
        <v>0.03</v>
      </c>
      <c r="E17" s="35">
        <f t="shared" si="0"/>
        <v>527.08586781339545</v>
      </c>
      <c r="F17" s="35">
        <f t="shared" si="1"/>
        <v>653.8624511660023</v>
      </c>
      <c r="G17" s="35">
        <f t="shared" si="2"/>
        <v>1180.9483189793975</v>
      </c>
      <c r="H17" s="35">
        <f t="shared" si="3"/>
        <v>16915.666475947179</v>
      </c>
      <c r="I17" s="313"/>
    </row>
    <row r="18" spans="2:9" x14ac:dyDescent="0.25">
      <c r="B18" s="59">
        <f t="shared" si="4"/>
        <v>6</v>
      </c>
      <c r="C18" s="35">
        <f t="shared" si="5"/>
        <v>16915.666475947179</v>
      </c>
      <c r="D18" s="82">
        <f t="shared" si="6"/>
        <v>0.03</v>
      </c>
      <c r="E18" s="35">
        <f t="shared" si="0"/>
        <v>507.46999427841524</v>
      </c>
      <c r="F18" s="35">
        <f t="shared" si="1"/>
        <v>673.47832470098228</v>
      </c>
      <c r="G18" s="35">
        <f t="shared" si="2"/>
        <v>1180.9483189793975</v>
      </c>
      <c r="H18" s="35">
        <f t="shared" si="3"/>
        <v>16242.188151246197</v>
      </c>
      <c r="I18" s="313"/>
    </row>
    <row r="19" spans="2:9" x14ac:dyDescent="0.25">
      <c r="B19" s="59">
        <f t="shared" si="4"/>
        <v>7</v>
      </c>
      <c r="C19" s="35">
        <f t="shared" si="5"/>
        <v>16242.188151246197</v>
      </c>
      <c r="D19" s="82">
        <f t="shared" si="6"/>
        <v>0.03</v>
      </c>
      <c r="E19" s="35">
        <f t="shared" si="0"/>
        <v>487.26564453738575</v>
      </c>
      <c r="F19" s="35">
        <f t="shared" si="1"/>
        <v>693.68267444201172</v>
      </c>
      <c r="G19" s="35">
        <f t="shared" si="2"/>
        <v>1180.9483189793975</v>
      </c>
      <c r="H19" s="35">
        <f t="shared" si="3"/>
        <v>15548.505476804185</v>
      </c>
    </row>
    <row r="20" spans="2:9" x14ac:dyDescent="0.25">
      <c r="B20" s="59">
        <f t="shared" si="4"/>
        <v>8</v>
      </c>
      <c r="C20" s="35">
        <f t="shared" si="5"/>
        <v>15548.505476804185</v>
      </c>
      <c r="D20" s="82">
        <f t="shared" si="6"/>
        <v>0.03</v>
      </c>
      <c r="E20" s="35">
        <f t="shared" si="0"/>
        <v>466.4551643041255</v>
      </c>
      <c r="F20" s="35">
        <f t="shared" si="1"/>
        <v>714.49315467527208</v>
      </c>
      <c r="G20" s="35">
        <f t="shared" si="2"/>
        <v>1180.9483189793975</v>
      </c>
      <c r="H20" s="35">
        <f t="shared" si="3"/>
        <v>14834.012322128912</v>
      </c>
    </row>
    <row r="21" spans="2:9" x14ac:dyDescent="0.25">
      <c r="B21" s="59">
        <f t="shared" si="4"/>
        <v>9</v>
      </c>
      <c r="C21" s="35">
        <f t="shared" si="5"/>
        <v>14834.012322128912</v>
      </c>
      <c r="D21" s="82">
        <f t="shared" si="6"/>
        <v>0.03</v>
      </c>
      <c r="E21" s="35">
        <f t="shared" si="0"/>
        <v>445.02036966386731</v>
      </c>
      <c r="F21" s="35">
        <f t="shared" si="1"/>
        <v>735.92794931553021</v>
      </c>
      <c r="G21" s="35">
        <f t="shared" si="2"/>
        <v>1180.9483189793975</v>
      </c>
      <c r="H21" s="35">
        <f t="shared" si="3"/>
        <v>14098.084372813382</v>
      </c>
    </row>
    <row r="22" spans="2:9" x14ac:dyDescent="0.25">
      <c r="B22" s="59">
        <f t="shared" si="4"/>
        <v>10</v>
      </c>
      <c r="C22" s="35">
        <f t="shared" si="5"/>
        <v>14098.084372813382</v>
      </c>
      <c r="D22" s="82">
        <f t="shared" si="6"/>
        <v>0.03</v>
      </c>
      <c r="E22" s="35">
        <f t="shared" si="0"/>
        <v>422.94253118440139</v>
      </c>
      <c r="F22" s="35">
        <f t="shared" si="1"/>
        <v>758.00578779499619</v>
      </c>
      <c r="G22" s="35">
        <f t="shared" si="2"/>
        <v>1180.9483189793975</v>
      </c>
      <c r="H22" s="35">
        <f t="shared" si="3"/>
        <v>13340.078585018386</v>
      </c>
    </row>
    <row r="23" spans="2:9" x14ac:dyDescent="0.25">
      <c r="B23" s="59">
        <f t="shared" si="4"/>
        <v>11</v>
      </c>
      <c r="C23" s="35">
        <f t="shared" si="5"/>
        <v>13340.078585018386</v>
      </c>
      <c r="D23" s="82">
        <f t="shared" si="6"/>
        <v>0.03</v>
      </c>
      <c r="E23" s="35">
        <f t="shared" si="0"/>
        <v>400.20235755055148</v>
      </c>
      <c r="F23" s="35">
        <f t="shared" si="1"/>
        <v>780.74596142884593</v>
      </c>
      <c r="G23" s="35">
        <f t="shared" si="2"/>
        <v>1180.9483189793975</v>
      </c>
      <c r="H23" s="35">
        <f t="shared" si="3"/>
        <v>12559.33262358954</v>
      </c>
    </row>
    <row r="24" spans="2:9" x14ac:dyDescent="0.25">
      <c r="B24" s="59">
        <f t="shared" si="4"/>
        <v>12</v>
      </c>
      <c r="C24" s="35">
        <f t="shared" si="5"/>
        <v>12559.33262358954</v>
      </c>
      <c r="D24" s="82">
        <f t="shared" si="6"/>
        <v>0.03</v>
      </c>
      <c r="E24" s="35">
        <f t="shared" si="0"/>
        <v>376.7799787076861</v>
      </c>
      <c r="F24" s="35">
        <f t="shared" si="1"/>
        <v>804.16834027171137</v>
      </c>
      <c r="G24" s="35">
        <f t="shared" si="2"/>
        <v>1180.9483189793975</v>
      </c>
      <c r="H24" s="35">
        <f t="shared" si="3"/>
        <v>11755.164283317828</v>
      </c>
    </row>
    <row r="25" spans="2:9" x14ac:dyDescent="0.25">
      <c r="B25" s="59">
        <f t="shared" ref="B25:B64" si="7">B24+1</f>
        <v>13</v>
      </c>
      <c r="C25" s="35">
        <f t="shared" ref="C25:C36" si="8">H24</f>
        <v>11755.164283317828</v>
      </c>
      <c r="D25" s="82">
        <f t="shared" si="6"/>
        <v>0.03</v>
      </c>
      <c r="E25" s="35">
        <f t="shared" ref="E25:E36" si="9">IPMT($D$13,B25,$C$11,-$C$9)</f>
        <v>352.65492849953478</v>
      </c>
      <c r="F25" s="35">
        <f t="shared" ref="F25:F36" si="10">PPMT(D25,B25,$C$11,-$C$9)</f>
        <v>828.29339047986264</v>
      </c>
      <c r="G25" s="35">
        <f t="shared" ref="G25:G48" si="11">PMT($D$13,$C$11,-$C$9)</f>
        <v>1180.9483189793975</v>
      </c>
      <c r="H25" s="35">
        <f t="shared" ref="H25:H36" si="12">C25-F25</f>
        <v>10926.870892837966</v>
      </c>
    </row>
    <row r="26" spans="2:9" x14ac:dyDescent="0.25">
      <c r="B26" s="59">
        <f t="shared" si="7"/>
        <v>14</v>
      </c>
      <c r="C26" s="35">
        <f t="shared" si="8"/>
        <v>10926.870892837966</v>
      </c>
      <c r="D26" s="82">
        <f t="shared" si="6"/>
        <v>0.03</v>
      </c>
      <c r="E26" s="35">
        <f t="shared" si="9"/>
        <v>327.80612678513893</v>
      </c>
      <c r="F26" s="35">
        <f t="shared" si="10"/>
        <v>853.14219219425854</v>
      </c>
      <c r="G26" s="35">
        <f t="shared" si="11"/>
        <v>1180.9483189793975</v>
      </c>
      <c r="H26" s="35">
        <f t="shared" si="12"/>
        <v>10073.728700643707</v>
      </c>
    </row>
    <row r="27" spans="2:9" x14ac:dyDescent="0.25">
      <c r="B27" s="59">
        <f t="shared" si="7"/>
        <v>15</v>
      </c>
      <c r="C27" s="35">
        <f t="shared" si="8"/>
        <v>10073.728700643707</v>
      </c>
      <c r="D27" s="82">
        <f t="shared" si="6"/>
        <v>0.03</v>
      </c>
      <c r="E27" s="35">
        <f t="shared" si="9"/>
        <v>302.21186101931107</v>
      </c>
      <c r="F27" s="35">
        <f t="shared" si="10"/>
        <v>878.73645796008634</v>
      </c>
      <c r="G27" s="35">
        <f t="shared" si="11"/>
        <v>1180.9483189793975</v>
      </c>
      <c r="H27" s="35">
        <f t="shared" si="12"/>
        <v>9194.9922426836201</v>
      </c>
    </row>
    <row r="28" spans="2:9" x14ac:dyDescent="0.25">
      <c r="B28" s="59">
        <f t="shared" si="7"/>
        <v>16</v>
      </c>
      <c r="C28" s="35">
        <f t="shared" si="8"/>
        <v>9194.9922426836201</v>
      </c>
      <c r="D28" s="82">
        <f t="shared" si="6"/>
        <v>0.03</v>
      </c>
      <c r="E28" s="35">
        <f t="shared" si="9"/>
        <v>275.8497672805085</v>
      </c>
      <c r="F28" s="35">
        <f t="shared" si="10"/>
        <v>905.09855169888885</v>
      </c>
      <c r="G28" s="35">
        <f t="shared" si="11"/>
        <v>1180.9483189793975</v>
      </c>
      <c r="H28" s="35">
        <f t="shared" si="12"/>
        <v>8289.8936909847307</v>
      </c>
    </row>
    <row r="29" spans="2:9" x14ac:dyDescent="0.25">
      <c r="B29" s="59">
        <f t="shared" si="7"/>
        <v>17</v>
      </c>
      <c r="C29" s="35">
        <f t="shared" si="8"/>
        <v>8289.8936909847307</v>
      </c>
      <c r="D29" s="82">
        <f t="shared" si="6"/>
        <v>0.03</v>
      </c>
      <c r="E29" s="35">
        <f t="shared" si="9"/>
        <v>248.69681072954185</v>
      </c>
      <c r="F29" s="35">
        <f t="shared" si="10"/>
        <v>932.25150824985553</v>
      </c>
      <c r="G29" s="35">
        <f t="shared" si="11"/>
        <v>1180.9483189793975</v>
      </c>
      <c r="H29" s="35">
        <f t="shared" si="12"/>
        <v>7357.642182734875</v>
      </c>
    </row>
    <row r="30" spans="2:9" x14ac:dyDescent="0.25">
      <c r="B30" s="59">
        <f t="shared" si="7"/>
        <v>18</v>
      </c>
      <c r="C30" s="35">
        <f t="shared" si="8"/>
        <v>7357.642182734875</v>
      </c>
      <c r="D30" s="82">
        <f t="shared" si="6"/>
        <v>0.03</v>
      </c>
      <c r="E30" s="35">
        <f t="shared" si="9"/>
        <v>220.72926548204623</v>
      </c>
      <c r="F30" s="35">
        <f t="shared" si="10"/>
        <v>960.21905349735118</v>
      </c>
      <c r="G30" s="35">
        <f t="shared" si="11"/>
        <v>1180.9483189793975</v>
      </c>
      <c r="H30" s="35">
        <f t="shared" si="12"/>
        <v>6397.4231292375234</v>
      </c>
    </row>
    <row r="31" spans="2:9" x14ac:dyDescent="0.25">
      <c r="B31" s="59">
        <f t="shared" si="7"/>
        <v>19</v>
      </c>
      <c r="C31" s="35">
        <f t="shared" si="8"/>
        <v>6397.4231292375234</v>
      </c>
      <c r="D31" s="82">
        <f t="shared" si="6"/>
        <v>0.03</v>
      </c>
      <c r="E31" s="35">
        <f t="shared" si="9"/>
        <v>191.92269387712568</v>
      </c>
      <c r="F31" s="35">
        <f t="shared" si="10"/>
        <v>989.02562510227187</v>
      </c>
      <c r="G31" s="35">
        <f t="shared" si="11"/>
        <v>1180.9483189793975</v>
      </c>
      <c r="H31" s="35">
        <f t="shared" si="12"/>
        <v>5408.3975041352514</v>
      </c>
    </row>
    <row r="32" spans="2:9" x14ac:dyDescent="0.25">
      <c r="B32" s="59">
        <f t="shared" si="7"/>
        <v>20</v>
      </c>
      <c r="C32" s="35">
        <f t="shared" si="8"/>
        <v>5408.3975041352514</v>
      </c>
      <c r="D32" s="82">
        <f t="shared" si="6"/>
        <v>0.03</v>
      </c>
      <c r="E32" s="35">
        <f t="shared" si="9"/>
        <v>162.25192512405749</v>
      </c>
      <c r="F32" s="35">
        <f t="shared" si="10"/>
        <v>1018.6963938553401</v>
      </c>
      <c r="G32" s="35">
        <f t="shared" si="11"/>
        <v>1180.9483189793975</v>
      </c>
      <c r="H32" s="35">
        <f t="shared" si="12"/>
        <v>4389.7011102799115</v>
      </c>
    </row>
    <row r="33" spans="2:8" x14ac:dyDescent="0.25">
      <c r="B33" s="59">
        <f t="shared" si="7"/>
        <v>21</v>
      </c>
      <c r="C33" s="35">
        <f t="shared" si="8"/>
        <v>4389.7011102799115</v>
      </c>
      <c r="D33" s="82">
        <f t="shared" si="6"/>
        <v>0.03</v>
      </c>
      <c r="E33" s="35">
        <f t="shared" si="9"/>
        <v>131.69103330839729</v>
      </c>
      <c r="F33" s="35">
        <f t="shared" si="10"/>
        <v>1049.2572856710003</v>
      </c>
      <c r="G33" s="35">
        <f t="shared" si="11"/>
        <v>1180.9483189793975</v>
      </c>
      <c r="H33" s="35">
        <f t="shared" si="12"/>
        <v>3340.4438246089112</v>
      </c>
    </row>
    <row r="34" spans="2:8" x14ac:dyDescent="0.25">
      <c r="B34" s="59">
        <f t="shared" si="7"/>
        <v>22</v>
      </c>
      <c r="C34" s="35">
        <f t="shared" si="8"/>
        <v>3340.4438246089112</v>
      </c>
      <c r="D34" s="82">
        <f t="shared" si="6"/>
        <v>0.03</v>
      </c>
      <c r="E34" s="35">
        <f t="shared" si="9"/>
        <v>100.21331473826729</v>
      </c>
      <c r="F34" s="35">
        <f t="shared" si="10"/>
        <v>1080.7350042411304</v>
      </c>
      <c r="G34" s="35">
        <f t="shared" si="11"/>
        <v>1180.9483189793975</v>
      </c>
      <c r="H34" s="35">
        <f t="shared" si="12"/>
        <v>2259.7088203677808</v>
      </c>
    </row>
    <row r="35" spans="2:8" x14ac:dyDescent="0.25">
      <c r="B35" s="59">
        <f t="shared" si="7"/>
        <v>23</v>
      </c>
      <c r="C35" s="35">
        <f t="shared" si="8"/>
        <v>2259.7088203677808</v>
      </c>
      <c r="D35" s="82">
        <f t="shared" si="6"/>
        <v>0.03</v>
      </c>
      <c r="E35" s="35">
        <f t="shared" si="9"/>
        <v>67.791264611033384</v>
      </c>
      <c r="F35" s="35">
        <f t="shared" si="10"/>
        <v>1113.1570543683642</v>
      </c>
      <c r="G35" s="35">
        <f t="shared" si="11"/>
        <v>1180.9483189793975</v>
      </c>
      <c r="H35" s="35">
        <f t="shared" si="12"/>
        <v>1146.5517659994166</v>
      </c>
    </row>
    <row r="36" spans="2:8" x14ac:dyDescent="0.25">
      <c r="B36" s="59">
        <f t="shared" si="7"/>
        <v>24</v>
      </c>
      <c r="C36" s="35">
        <f t="shared" si="8"/>
        <v>1146.5517659994166</v>
      </c>
      <c r="D36" s="82">
        <f t="shared" si="6"/>
        <v>0.03</v>
      </c>
      <c r="E36" s="35">
        <f t="shared" si="9"/>
        <v>34.396552979982452</v>
      </c>
      <c r="F36" s="35">
        <f t="shared" si="10"/>
        <v>1146.551765999415</v>
      </c>
      <c r="G36" s="35">
        <f t="shared" si="11"/>
        <v>1180.9483189793975</v>
      </c>
      <c r="H36" s="35">
        <f t="shared" si="12"/>
        <v>0</v>
      </c>
    </row>
    <row r="37" spans="2:8" x14ac:dyDescent="0.25">
      <c r="B37" s="59">
        <f t="shared" si="7"/>
        <v>25</v>
      </c>
      <c r="C37" s="35">
        <f t="shared" ref="C37:C48" si="13">H36</f>
        <v>0</v>
      </c>
      <c r="D37" s="82">
        <f t="shared" si="6"/>
        <v>0.03</v>
      </c>
      <c r="E37" s="35" t="e">
        <f t="shared" ref="E37:E48" si="14">IPMT($D$13,B37,$C$11,-$C$9)</f>
        <v>#NUM!</v>
      </c>
      <c r="F37" s="35" t="e">
        <f t="shared" ref="F37:F48" si="15">PPMT(D37,B37,$C$11,-$C$9)</f>
        <v>#NUM!</v>
      </c>
      <c r="G37" s="35">
        <f t="shared" si="11"/>
        <v>1180.9483189793975</v>
      </c>
      <c r="H37" s="35" t="e">
        <f t="shared" ref="H37:H48" si="16">C37-F37</f>
        <v>#NUM!</v>
      </c>
    </row>
    <row r="38" spans="2:8" x14ac:dyDescent="0.25">
      <c r="B38" s="59">
        <f t="shared" si="7"/>
        <v>26</v>
      </c>
      <c r="C38" s="35" t="e">
        <f t="shared" si="13"/>
        <v>#NUM!</v>
      </c>
      <c r="D38" s="82">
        <f t="shared" si="6"/>
        <v>0.03</v>
      </c>
      <c r="E38" s="35" t="e">
        <f t="shared" si="14"/>
        <v>#NUM!</v>
      </c>
      <c r="F38" s="35" t="e">
        <f t="shared" si="15"/>
        <v>#NUM!</v>
      </c>
      <c r="G38" s="35">
        <f t="shared" si="11"/>
        <v>1180.9483189793975</v>
      </c>
      <c r="H38" s="35" t="e">
        <f t="shared" si="16"/>
        <v>#NUM!</v>
      </c>
    </row>
    <row r="39" spans="2:8" x14ac:dyDescent="0.25">
      <c r="B39" s="59">
        <f t="shared" si="7"/>
        <v>27</v>
      </c>
      <c r="C39" s="35" t="e">
        <f t="shared" si="13"/>
        <v>#NUM!</v>
      </c>
      <c r="D39" s="82">
        <f t="shared" si="6"/>
        <v>0.03</v>
      </c>
      <c r="E39" s="35" t="e">
        <f t="shared" si="14"/>
        <v>#NUM!</v>
      </c>
      <c r="F39" s="35" t="e">
        <f t="shared" si="15"/>
        <v>#NUM!</v>
      </c>
      <c r="G39" s="35">
        <f t="shared" si="11"/>
        <v>1180.9483189793975</v>
      </c>
      <c r="H39" s="35" t="e">
        <f t="shared" si="16"/>
        <v>#NUM!</v>
      </c>
    </row>
    <row r="40" spans="2:8" x14ac:dyDescent="0.25">
      <c r="B40" s="59">
        <f t="shared" si="7"/>
        <v>28</v>
      </c>
      <c r="C40" s="35" t="e">
        <f t="shared" si="13"/>
        <v>#NUM!</v>
      </c>
      <c r="D40" s="82">
        <f t="shared" si="6"/>
        <v>0.03</v>
      </c>
      <c r="E40" s="35" t="e">
        <f t="shared" si="14"/>
        <v>#NUM!</v>
      </c>
      <c r="F40" s="35" t="e">
        <f t="shared" si="15"/>
        <v>#NUM!</v>
      </c>
      <c r="G40" s="35">
        <f t="shared" si="11"/>
        <v>1180.9483189793975</v>
      </c>
      <c r="H40" s="35" t="e">
        <f t="shared" si="16"/>
        <v>#NUM!</v>
      </c>
    </row>
    <row r="41" spans="2:8" x14ac:dyDescent="0.25">
      <c r="B41" s="59">
        <f t="shared" si="7"/>
        <v>29</v>
      </c>
      <c r="C41" s="35" t="e">
        <f t="shared" si="13"/>
        <v>#NUM!</v>
      </c>
      <c r="D41" s="82">
        <f t="shared" si="6"/>
        <v>0.03</v>
      </c>
      <c r="E41" s="35" t="e">
        <f t="shared" si="14"/>
        <v>#NUM!</v>
      </c>
      <c r="F41" s="35" t="e">
        <f t="shared" si="15"/>
        <v>#NUM!</v>
      </c>
      <c r="G41" s="35">
        <f t="shared" si="11"/>
        <v>1180.9483189793975</v>
      </c>
      <c r="H41" s="35" t="e">
        <f t="shared" si="16"/>
        <v>#NUM!</v>
      </c>
    </row>
    <row r="42" spans="2:8" x14ac:dyDescent="0.25">
      <c r="B42" s="59">
        <f t="shared" si="7"/>
        <v>30</v>
      </c>
      <c r="C42" s="35" t="e">
        <f t="shared" si="13"/>
        <v>#NUM!</v>
      </c>
      <c r="D42" s="82">
        <f t="shared" si="6"/>
        <v>0.03</v>
      </c>
      <c r="E42" s="35" t="e">
        <f t="shared" si="14"/>
        <v>#NUM!</v>
      </c>
      <c r="F42" s="35" t="e">
        <f t="shared" si="15"/>
        <v>#NUM!</v>
      </c>
      <c r="G42" s="35">
        <f t="shared" si="11"/>
        <v>1180.9483189793975</v>
      </c>
      <c r="H42" s="35" t="e">
        <f t="shared" si="16"/>
        <v>#NUM!</v>
      </c>
    </row>
    <row r="43" spans="2:8" x14ac:dyDescent="0.25">
      <c r="B43" s="59">
        <f t="shared" si="7"/>
        <v>31</v>
      </c>
      <c r="C43" s="35" t="e">
        <f t="shared" si="13"/>
        <v>#NUM!</v>
      </c>
      <c r="D43" s="82">
        <f t="shared" si="6"/>
        <v>0.03</v>
      </c>
      <c r="E43" s="35" t="e">
        <f t="shared" si="14"/>
        <v>#NUM!</v>
      </c>
      <c r="F43" s="35" t="e">
        <f t="shared" si="15"/>
        <v>#NUM!</v>
      </c>
      <c r="G43" s="35">
        <f t="shared" si="11"/>
        <v>1180.9483189793975</v>
      </c>
      <c r="H43" s="35" t="e">
        <f t="shared" si="16"/>
        <v>#NUM!</v>
      </c>
    </row>
    <row r="44" spans="2:8" x14ac:dyDescent="0.25">
      <c r="B44" s="59">
        <f t="shared" si="7"/>
        <v>32</v>
      </c>
      <c r="C44" s="35" t="e">
        <f t="shared" si="13"/>
        <v>#NUM!</v>
      </c>
      <c r="D44" s="82">
        <f t="shared" si="6"/>
        <v>0.03</v>
      </c>
      <c r="E44" s="35" t="e">
        <f t="shared" si="14"/>
        <v>#NUM!</v>
      </c>
      <c r="F44" s="35" t="e">
        <f t="shared" si="15"/>
        <v>#NUM!</v>
      </c>
      <c r="G44" s="35">
        <f t="shared" si="11"/>
        <v>1180.9483189793975</v>
      </c>
      <c r="H44" s="35" t="e">
        <f t="shared" si="16"/>
        <v>#NUM!</v>
      </c>
    </row>
    <row r="45" spans="2:8" x14ac:dyDescent="0.25">
      <c r="B45" s="59">
        <f t="shared" si="7"/>
        <v>33</v>
      </c>
      <c r="C45" s="35" t="e">
        <f t="shared" si="13"/>
        <v>#NUM!</v>
      </c>
      <c r="D45" s="82">
        <f t="shared" si="6"/>
        <v>0.03</v>
      </c>
      <c r="E45" s="35" t="e">
        <f t="shared" si="14"/>
        <v>#NUM!</v>
      </c>
      <c r="F45" s="35" t="e">
        <f t="shared" si="15"/>
        <v>#NUM!</v>
      </c>
      <c r="G45" s="35">
        <f t="shared" si="11"/>
        <v>1180.9483189793975</v>
      </c>
      <c r="H45" s="35" t="e">
        <f t="shared" si="16"/>
        <v>#NUM!</v>
      </c>
    </row>
    <row r="46" spans="2:8" x14ac:dyDescent="0.25">
      <c r="B46" s="59">
        <f t="shared" si="7"/>
        <v>34</v>
      </c>
      <c r="C46" s="35" t="e">
        <f t="shared" si="13"/>
        <v>#NUM!</v>
      </c>
      <c r="D46" s="82">
        <f t="shared" si="6"/>
        <v>0.03</v>
      </c>
      <c r="E46" s="35" t="e">
        <f t="shared" si="14"/>
        <v>#NUM!</v>
      </c>
      <c r="F46" s="35" t="e">
        <f t="shared" si="15"/>
        <v>#NUM!</v>
      </c>
      <c r="G46" s="35">
        <f t="shared" si="11"/>
        <v>1180.9483189793975</v>
      </c>
      <c r="H46" s="35" t="e">
        <f t="shared" si="16"/>
        <v>#NUM!</v>
      </c>
    </row>
    <row r="47" spans="2:8" x14ac:dyDescent="0.25">
      <c r="B47" s="59">
        <f t="shared" si="7"/>
        <v>35</v>
      </c>
      <c r="C47" s="35" t="e">
        <f t="shared" si="13"/>
        <v>#NUM!</v>
      </c>
      <c r="D47" s="82">
        <f t="shared" si="6"/>
        <v>0.03</v>
      </c>
      <c r="E47" s="35" t="e">
        <f t="shared" si="14"/>
        <v>#NUM!</v>
      </c>
      <c r="F47" s="35" t="e">
        <f t="shared" si="15"/>
        <v>#NUM!</v>
      </c>
      <c r="G47" s="35">
        <f t="shared" si="11"/>
        <v>1180.9483189793975</v>
      </c>
      <c r="H47" s="35" t="e">
        <f t="shared" si="16"/>
        <v>#NUM!</v>
      </c>
    </row>
    <row r="48" spans="2:8" x14ac:dyDescent="0.25">
      <c r="B48" s="59">
        <f t="shared" si="7"/>
        <v>36</v>
      </c>
      <c r="C48" s="35" t="e">
        <f t="shared" si="13"/>
        <v>#NUM!</v>
      </c>
      <c r="D48" s="82">
        <f t="shared" si="6"/>
        <v>0.03</v>
      </c>
      <c r="E48" s="35" t="e">
        <f t="shared" si="14"/>
        <v>#NUM!</v>
      </c>
      <c r="F48" s="35" t="e">
        <f t="shared" si="15"/>
        <v>#NUM!</v>
      </c>
      <c r="G48" s="35">
        <f t="shared" si="11"/>
        <v>1180.9483189793975</v>
      </c>
      <c r="H48" s="35" t="e">
        <f t="shared" si="16"/>
        <v>#NUM!</v>
      </c>
    </row>
    <row r="49" spans="2:8" x14ac:dyDescent="0.25">
      <c r="B49" s="59">
        <f t="shared" si="7"/>
        <v>37</v>
      </c>
      <c r="C49" s="35"/>
      <c r="D49" s="82"/>
      <c r="E49" s="35"/>
      <c r="F49" s="35"/>
      <c r="G49" s="35"/>
      <c r="H49" s="35"/>
    </row>
    <row r="50" spans="2:8" x14ac:dyDescent="0.25">
      <c r="B50" s="59">
        <f t="shared" si="7"/>
        <v>38</v>
      </c>
      <c r="C50" s="35"/>
      <c r="D50" s="82"/>
      <c r="E50" s="35"/>
      <c r="F50" s="35"/>
      <c r="G50" s="35"/>
      <c r="H50" s="35"/>
    </row>
    <row r="51" spans="2:8" x14ac:dyDescent="0.25">
      <c r="B51" s="59">
        <f t="shared" si="7"/>
        <v>39</v>
      </c>
      <c r="C51" s="35"/>
      <c r="D51" s="82"/>
      <c r="E51" s="35"/>
      <c r="F51" s="35"/>
      <c r="G51" s="35"/>
      <c r="H51" s="35"/>
    </row>
    <row r="52" spans="2:8" x14ac:dyDescent="0.25">
      <c r="B52" s="59">
        <f t="shared" si="7"/>
        <v>40</v>
      </c>
      <c r="C52" s="35"/>
      <c r="D52" s="82"/>
      <c r="E52" s="35"/>
      <c r="F52" s="35"/>
      <c r="G52" s="35"/>
      <c r="H52" s="35"/>
    </row>
    <row r="53" spans="2:8" x14ac:dyDescent="0.25">
      <c r="B53" s="59">
        <f t="shared" si="7"/>
        <v>41</v>
      </c>
      <c r="C53" s="35"/>
      <c r="D53" s="82"/>
      <c r="E53" s="35"/>
      <c r="F53" s="35"/>
      <c r="G53" s="35"/>
      <c r="H53" s="35"/>
    </row>
    <row r="54" spans="2:8" x14ac:dyDescent="0.25">
      <c r="B54" s="59">
        <f t="shared" si="7"/>
        <v>42</v>
      </c>
      <c r="C54" s="35"/>
      <c r="D54" s="82"/>
      <c r="E54" s="35"/>
      <c r="F54" s="35"/>
      <c r="G54" s="35"/>
      <c r="H54" s="35"/>
    </row>
    <row r="55" spans="2:8" x14ac:dyDescent="0.25">
      <c r="B55" s="59">
        <f t="shared" si="7"/>
        <v>43</v>
      </c>
      <c r="C55" s="35"/>
      <c r="D55" s="82"/>
      <c r="E55" s="35"/>
      <c r="F55" s="35"/>
      <c r="G55" s="35"/>
      <c r="H55" s="35"/>
    </row>
    <row r="56" spans="2:8" x14ac:dyDescent="0.25">
      <c r="B56" s="59">
        <f t="shared" si="7"/>
        <v>44</v>
      </c>
      <c r="C56" s="35"/>
      <c r="D56" s="82"/>
      <c r="E56" s="35"/>
      <c r="F56" s="35"/>
      <c r="G56" s="35"/>
      <c r="H56" s="35"/>
    </row>
    <row r="57" spans="2:8" x14ac:dyDescent="0.25">
      <c r="B57" s="59">
        <f t="shared" si="7"/>
        <v>45</v>
      </c>
      <c r="C57" s="35"/>
      <c r="D57" s="82"/>
      <c r="E57" s="35"/>
      <c r="F57" s="35"/>
      <c r="G57" s="35"/>
      <c r="H57" s="35"/>
    </row>
    <row r="58" spans="2:8" x14ac:dyDescent="0.25">
      <c r="B58" s="59">
        <f t="shared" si="7"/>
        <v>46</v>
      </c>
      <c r="C58" s="35"/>
      <c r="D58" s="82"/>
      <c r="E58" s="35"/>
      <c r="F58" s="35"/>
      <c r="G58" s="35"/>
      <c r="H58" s="35"/>
    </row>
    <row r="59" spans="2:8" x14ac:dyDescent="0.25">
      <c r="B59" s="59">
        <f t="shared" si="7"/>
        <v>47</v>
      </c>
      <c r="C59" s="35"/>
      <c r="D59" s="82"/>
      <c r="E59" s="35"/>
      <c r="F59" s="35"/>
      <c r="G59" s="35"/>
      <c r="H59" s="35"/>
    </row>
    <row r="60" spans="2:8" x14ac:dyDescent="0.25">
      <c r="B60" s="59">
        <f t="shared" si="7"/>
        <v>48</v>
      </c>
      <c r="C60" s="35"/>
      <c r="D60" s="82"/>
      <c r="E60" s="35"/>
      <c r="F60" s="35"/>
      <c r="G60" s="35"/>
      <c r="H60" s="35"/>
    </row>
    <row r="61" spans="2:8" x14ac:dyDescent="0.25">
      <c r="B61" s="59">
        <f t="shared" si="7"/>
        <v>49</v>
      </c>
      <c r="C61" s="35"/>
      <c r="D61" s="82"/>
      <c r="E61" s="35"/>
      <c r="F61" s="35"/>
      <c r="G61" s="35"/>
      <c r="H61" s="35"/>
    </row>
    <row r="62" spans="2:8" x14ac:dyDescent="0.25">
      <c r="B62" s="59">
        <f t="shared" si="7"/>
        <v>50</v>
      </c>
      <c r="C62" s="35"/>
      <c r="D62" s="82"/>
      <c r="E62" s="35"/>
      <c r="F62" s="35"/>
      <c r="G62" s="35"/>
      <c r="H62" s="35"/>
    </row>
    <row r="63" spans="2:8" x14ac:dyDescent="0.25">
      <c r="B63" s="59">
        <f t="shared" si="7"/>
        <v>51</v>
      </c>
      <c r="C63" s="35"/>
      <c r="D63" s="82"/>
      <c r="E63" s="35"/>
      <c r="F63" s="35"/>
      <c r="G63" s="35"/>
      <c r="H63" s="35"/>
    </row>
    <row r="64" spans="2:8" x14ac:dyDescent="0.25">
      <c r="B64" s="59">
        <f t="shared" si="7"/>
        <v>52</v>
      </c>
      <c r="C64" s="35"/>
      <c r="D64" s="82"/>
      <c r="E64" s="35"/>
      <c r="F64" s="35"/>
      <c r="G64" s="35"/>
      <c r="H64" s="35"/>
    </row>
    <row r="65" spans="5:7" x14ac:dyDescent="0.25">
      <c r="E65" s="28" t="e">
        <f>SUM(E13:E64)</f>
        <v>#NUM!</v>
      </c>
      <c r="F65" s="28" t="e">
        <f>SUM(F13:F64)</f>
        <v>#NUM!</v>
      </c>
      <c r="G65" s="28">
        <f>SUM(G13:G64)</f>
        <v>42514.13948325831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"/>
  <sheetViews>
    <sheetView workbookViewId="0"/>
  </sheetViews>
  <sheetFormatPr baseColWidth="10" defaultColWidth="10.7109375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B77B0EA-21C9-4C6C-82D1-F70807D91D7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Inicio</vt:lpstr>
      <vt:lpstr>Fichas</vt:lpstr>
      <vt:lpstr>Partos</vt:lpstr>
      <vt:lpstr>Servicios</vt:lpstr>
      <vt:lpstr>Palpaciones</vt:lpstr>
      <vt:lpstr>Control p.leche</vt:lpstr>
      <vt:lpstr>Control de Peso</vt:lpstr>
      <vt:lpstr>Indices</vt:lpstr>
      <vt:lpstr>Bajas</vt:lpstr>
      <vt:lpstr>Eventos</vt:lpstr>
      <vt:lpstr>Queso</vt:lpstr>
      <vt:lpstr>Gastos</vt:lpstr>
      <vt:lpstr>Hoja3</vt:lpstr>
      <vt:lpstr>Hoja1</vt:lpstr>
      <vt:lpstr>Hoja2</vt:lpstr>
      <vt:lpstr>Estimados</vt:lpstr>
      <vt:lpstr>Hoja4</vt:lpstr>
      <vt:lpstr>Amortizacion</vt:lpstr>
      <vt:lpstr>Hoja5</vt:lpstr>
      <vt:lpstr>'Control p.leche'!Criterios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</dc:creator>
  <cp:lastModifiedBy>Usuario</cp:lastModifiedBy>
  <cp:lastPrinted>2024-11-13T14:27:05Z</cp:lastPrinted>
  <dcterms:created xsi:type="dcterms:W3CDTF">2018-06-25T22:22:59Z</dcterms:created>
  <dcterms:modified xsi:type="dcterms:W3CDTF">2026-03-06T21:58:31Z</dcterms:modified>
</cp:coreProperties>
</file>